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tc={2fe8c3f4-430a-4d6a-b8b5-06f7725732d1}</author>
    <author>tc={30904eef-f54d-4189-9e8b-11e9a9b2ab7e}</author>
    <author>tc={8f805490-7448-4cd4-9e4e-944d9660b276}</author>
    <author>tc={a550cadc-df1a-4928-9a9e-4e3806a428c3}</author>
    <author>tc={aa6e136c-a526-4dec-b704-d6a3b91272a5}</author>
    <author>tc={b9dfb719-717b-48c0-b3b9-8b3b0f80f084}</author>
    <author>tc={bf49ada7-3a42-4bcc-a515-9cb452488ded}</author>
    <author>tc={cfcc6551-aed4-4354-baf2-8fda25389a65}</author>
  </authors>
  <commentList>
    <comment authorId="0" xr:uid="{2fe8c3f4-430a-4d6a-b8b5-06f7725732d1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Actualmente cuenta con una clasificación programática con letra E
</t>
      </text>
    </comment>
    <comment authorId="1" xr:uid="{30904eef-f54d-4189-9e8b-11e9a9b2ab7e}" ref="F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Actalmente es un Lineamiento de Operación
</t>
      </text>
    </comment>
    <comment authorId="2" xr:uid="{8f805490-7448-4cd4-9e4e-944d9660b276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la espera de confirmación del nombre de la ROP, sin embargo ese es el tema de la intervención.
</t>
      </text>
    </comment>
    <comment authorId="3" xr:uid="{a550cadc-df1a-4928-9a9e-4e3806a428c3}" ref="H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tiene recurso propio
</t>
      </text>
    </comment>
    <comment authorId="4" xr:uid="{aa6e136c-a526-4dec-b704-d6a3b91272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momento se registra el nombre del componente; a la espera de nombre de la ROP.
</t>
      </text>
    </comment>
    <comment authorId="5" xr:uid="{b9dfb719-717b-48c0-b3b9-8b3b0f80f0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 cambiaron la transversalidad
</t>
      </text>
    </comment>
    <comment authorId="6" xr:uid="{bf49ada7-3a42-4bcc-a515-9cb452488ded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Tiene recurso propio
</t>
      </text>
    </comment>
    <comment authorId="7" xr:uid="{cfcc6551-aed4-4354-baf2-8fda25389a65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Actualmente cuenta con clasificación Programpatica  E
</t>
      </text>
    </comment>
  </commentList>
</comments>
</file>

<file path=xl/sharedStrings.xml><?xml version="1.0" encoding="utf-8"?>
<sst xmlns="http://schemas.openxmlformats.org/spreadsheetml/2006/main" count="1234" uniqueCount="353">
  <si>
    <t>UP</t>
  </si>
  <si>
    <t>DEPENDENCIA</t>
  </si>
  <si>
    <t>UR</t>
  </si>
  <si>
    <t>Llave UP_UR</t>
  </si>
  <si>
    <t>UNIDAD RESPONSABLE</t>
  </si>
  <si>
    <t>AR</t>
  </si>
  <si>
    <t>Llave Componente</t>
  </si>
  <si>
    <t>ROP_LOP Asignada</t>
  </si>
  <si>
    <t>Estatal / Federal</t>
  </si>
  <si>
    <t>Clave ROP_LOP</t>
  </si>
  <si>
    <t>02</t>
  </si>
  <si>
    <t>Secretaría General de Gobierno</t>
  </si>
  <si>
    <t>000</t>
  </si>
  <si>
    <t>02_000</t>
  </si>
  <si>
    <t>S</t>
  </si>
  <si>
    <t>SG1_C2</t>
  </si>
  <si>
    <t>Programa de Atención de Traslado a repatriados, deportados y retornados jaliscienses</t>
  </si>
  <si>
    <t>Estatal</t>
  </si>
  <si>
    <t>SG1_C3</t>
  </si>
  <si>
    <t>SG1_C4</t>
  </si>
  <si>
    <t>SG1_C7</t>
  </si>
  <si>
    <t>Programa REINA Red de Especialización Integral de Nuevos Artistas, 2026</t>
  </si>
  <si>
    <t>SG1_CD</t>
  </si>
  <si>
    <t>Programa Becas Universitarias Al Estilo Jalisco</t>
  </si>
  <si>
    <t>SG1_CH</t>
  </si>
  <si>
    <t>U</t>
  </si>
  <si>
    <t>SG1_C1</t>
  </si>
  <si>
    <t>Programa por la Inclusión de Personas con Discapacidad</t>
  </si>
  <si>
    <t>SG1_C6</t>
  </si>
  <si>
    <t>Apoyos a OSC para apoyo a la población de diversidad sexual</t>
  </si>
  <si>
    <t>SG1_CA</t>
  </si>
  <si>
    <t>Atención y Oportunidades para las Juventudes No dejar a nadie atrás</t>
  </si>
  <si>
    <t>SG1_CB</t>
  </si>
  <si>
    <t xml:space="preserve">Reconocimientos y premios económicos a personas jaliscienses de 12 a 29 años entregados.
</t>
  </si>
  <si>
    <t>SG1_C8</t>
  </si>
  <si>
    <t xml:space="preserve">Atenciones en salud física, mental y salud sexual y reproductiva para personas jaliscienses de 12 a 29 años brindadas.
</t>
  </si>
  <si>
    <t>SG1_C5</t>
  </si>
  <si>
    <t>Programa Red de enlaces regionales del Mecanismo de Atención a Víctimas de Discriminación MAViD MAViDmun</t>
  </si>
  <si>
    <t>172</t>
  </si>
  <si>
    <t>02_172</t>
  </si>
  <si>
    <t>Comisión Estatal Indígena</t>
  </si>
  <si>
    <t>SJ7_C1</t>
  </si>
  <si>
    <t xml:space="preserve"> Apoyos económicos para los pueblos y comunidades indígenas</t>
  </si>
  <si>
    <t>SJ7_C2</t>
  </si>
  <si>
    <t>Becas por la Interculturalidad para estudiantes indígenas del nivel medio superior y superior</t>
  </si>
  <si>
    <t>801</t>
  </si>
  <si>
    <t>02_801</t>
  </si>
  <si>
    <t>Comisión para la Búsqueda de Personas</t>
  </si>
  <si>
    <t>SBP_GA</t>
  </si>
  <si>
    <t>Apoyos otorgados a Familiares de Personas desaparecidas en el Estado de Jalisco</t>
  </si>
  <si>
    <t>03</t>
  </si>
  <si>
    <t xml:space="preserve">Secretaría de Hacienda </t>
  </si>
  <si>
    <t>729</t>
  </si>
  <si>
    <t>03_729</t>
  </si>
  <si>
    <t>Fideicomiso de Administración para la mejora de la Seguridad Vial</t>
  </si>
  <si>
    <t>ST4_D1</t>
  </si>
  <si>
    <t>Renovación parque vehicular transporte público</t>
  </si>
  <si>
    <t>ST4_D2</t>
  </si>
  <si>
    <t>Reducción de la tarifa del transporte público para las personas usuarias</t>
  </si>
  <si>
    <t>07</t>
  </si>
  <si>
    <t>Secretaría de Desarrollo Económico</t>
  </si>
  <si>
    <t>07_000</t>
  </si>
  <si>
    <t>S70_D1</t>
  </si>
  <si>
    <t>Jalisco Atrae</t>
  </si>
  <si>
    <t>S71_C1</t>
  </si>
  <si>
    <t xml:space="preserve">	Artesanías Jalisco Más</t>
  </si>
  <si>
    <t>S72_B1</t>
  </si>
  <si>
    <t>Impulso Mipymes Jalisco</t>
  </si>
  <si>
    <t>244</t>
  </si>
  <si>
    <t>07_244</t>
  </si>
  <si>
    <t>Fondo Impulso Jalisco</t>
  </si>
  <si>
    <t>S7F_C1</t>
  </si>
  <si>
    <t>Impulso a la Competitividad, Talento y Vinculación al estilo Jalisco</t>
  </si>
  <si>
    <t>S7F_C2</t>
  </si>
  <si>
    <t xml:space="preserve"> Crecer al Estilo Jalisco mediante la generación de Empleo y Talento</t>
  </si>
  <si>
    <t>08</t>
  </si>
  <si>
    <t>Secretaría de Turismo</t>
  </si>
  <si>
    <t>08_000</t>
  </si>
  <si>
    <t>S81_03</t>
  </si>
  <si>
    <t>Programa para Desarrollo de productos y experiencias turísticas en el Estado de Jalisco</t>
  </si>
  <si>
    <t>S81_06</t>
  </si>
  <si>
    <t>Programa de apoyo a Producciones fílmicas y audiovisuales en el Estado de Jalisco</t>
  </si>
  <si>
    <t>09</t>
  </si>
  <si>
    <t>Secretaría de Agricultura y Desarrollo Rural</t>
  </si>
  <si>
    <t>09_000</t>
  </si>
  <si>
    <t>S91_D8</t>
  </si>
  <si>
    <t>Impulso Agro Jalisco. Producción y Tecnología</t>
  </si>
  <si>
    <t>S92_D1</t>
  </si>
  <si>
    <t>Jalisco Agrosustentable</t>
  </si>
  <si>
    <t>S92_D2</t>
  </si>
  <si>
    <t>Eficiencia verde cañera</t>
  </si>
  <si>
    <t>S93_D1</t>
  </si>
  <si>
    <t>Fondo Especial para la Ganadería y el Sector Lechero</t>
  </si>
  <si>
    <t>S95_D1</t>
  </si>
  <si>
    <t>Proyectos Estratégicos Agropecuarios, Pesqueros y Acuícolas al estilo Jalisco</t>
  </si>
  <si>
    <t>S95_D3</t>
  </si>
  <si>
    <t>Proyectos Estratégicos Agroalimentarios.</t>
  </si>
  <si>
    <t>S96_D4</t>
  </si>
  <si>
    <t>Empedrados al estilo Jalisco</t>
  </si>
  <si>
    <t>S98_D1</t>
  </si>
  <si>
    <t>Fondo Jalisco para Contingencias Agroalimentarias</t>
  </si>
  <si>
    <t>S98_D2</t>
  </si>
  <si>
    <t>Apoyo a Cooperativas de la Laguna de Cajititlán</t>
  </si>
  <si>
    <t>S99_D1</t>
  </si>
  <si>
    <t>Fortalecimiento de Casas Ejidales y Centros de Servicios Ganaderos</t>
  </si>
  <si>
    <t>S99_D2</t>
  </si>
  <si>
    <t>S99_B3</t>
  </si>
  <si>
    <t>Agroinnovadoras y Jóvenes del campo de Jalisco</t>
  </si>
  <si>
    <t>09_190</t>
  </si>
  <si>
    <t>S9C_D1</t>
  </si>
  <si>
    <t>Fideicomiso para Coberturas de Precios de Maíz</t>
  </si>
  <si>
    <t>S9C_D2</t>
  </si>
  <si>
    <t>Recursos Propios</t>
  </si>
  <si>
    <t>225</t>
  </si>
  <si>
    <t>09_225</t>
  </si>
  <si>
    <t>Agencia Estatal de Sanidad, Inocuidad y Calidad Agroalimentaria en Jalisco</t>
  </si>
  <si>
    <t>S9E_C1</t>
  </si>
  <si>
    <t>Programa de Apoyo para el Fortalecimiento de la Inocuidad en Rastros en el Estado de Jalisco</t>
  </si>
  <si>
    <t>S9E_C2</t>
  </si>
  <si>
    <t>Despoblamiento de animales infectados</t>
  </si>
  <si>
    <t>S9E_D3</t>
  </si>
  <si>
    <t>Programa de Apoyo para la Prevención y Control del Gusano Barrenador del Ganado en el Estado de Jalisco</t>
  </si>
  <si>
    <t>10</t>
  </si>
  <si>
    <t xml:space="preserve">Secretaría de Medio Ambiente y Desarrollo Territorial </t>
  </si>
  <si>
    <t>042</t>
  </si>
  <si>
    <t>10_042</t>
  </si>
  <si>
    <t xml:space="preserve">O.P.D. Bosque la Primavera </t>
  </si>
  <si>
    <t>S1C_D1</t>
  </si>
  <si>
    <t xml:space="preserve">	Administración y Manejo del Área de Protección de Flora y Fauna La Primavera</t>
  </si>
  <si>
    <t>S1C_D2</t>
  </si>
  <si>
    <t>S1C_D4</t>
  </si>
  <si>
    <t>043</t>
  </si>
  <si>
    <t>10_043</t>
  </si>
  <si>
    <t>Fideicomiso para la Administración del Programa de Desarrollo Forestal del Estado de Jalisco (FIPRODEFO)</t>
  </si>
  <si>
    <t>S1E_D6</t>
  </si>
  <si>
    <t>Programa para el Desarrollo Forestal Sustentable del Estado de Jalisco</t>
  </si>
  <si>
    <t>11</t>
  </si>
  <si>
    <t>Secretaría del Sistema de Asistencia Social</t>
  </si>
  <si>
    <t>11_000</t>
  </si>
  <si>
    <t>S02_C1</t>
  </si>
  <si>
    <t>Apoyos monetarios entregados a instituciones que atienden personas con enfermedad mental en condición de vulnerabilidad por ingresos.</t>
  </si>
  <si>
    <t>S03_C1</t>
  </si>
  <si>
    <t>Subsidios para el transporte público entregados a las y los Estudiantes de los niveles, secundaria, media superior, licenciatura o maestría, así como, durante sus prácticas profesionales y/o el servicio social</t>
  </si>
  <si>
    <t>S03_C2</t>
  </si>
  <si>
    <t>Subsidios para el transporte público entregados a las Personas Adultos Mayores de 60 años o más</t>
  </si>
  <si>
    <t>S03_C3</t>
  </si>
  <si>
    <t>Subsidios para el transporte público entregados a las personas con discapacidad y sus personas cuidadoras</t>
  </si>
  <si>
    <t>S03_C4</t>
  </si>
  <si>
    <t>Subsidios para el transporte público entregados a mujeres jefas de hogar de 18 a 59 años que son sostén económico de una familia con dependientes económicos</t>
  </si>
  <si>
    <t>S03_C5</t>
  </si>
  <si>
    <t>Subsidios para el transporte público entregados a personas familiares de personas desaparecidas</t>
  </si>
  <si>
    <t>S03_C6</t>
  </si>
  <si>
    <t>Subsidios para el transporte público (Boletos/Tarjeta) entregados a hijas e hijos de policías activos</t>
  </si>
  <si>
    <t>S03_A7</t>
  </si>
  <si>
    <t>Subsidios para el transporte público entregados a niñas y niños de 5 años a 12 años de edad.</t>
  </si>
  <si>
    <t>S04_B1</t>
  </si>
  <si>
    <t>Apoyos monetarios entregados a personas dependientes de cuidados que requieren de un cuidador primario y/o monitor.</t>
  </si>
  <si>
    <t>S04_C3</t>
  </si>
  <si>
    <t>Actividades de formación y capacitación para el cuidado, otorgados a personas que realizan o están interesadas en realizar actividades de cuidado</t>
  </si>
  <si>
    <t>S04_B4</t>
  </si>
  <si>
    <t>Apoyo monetario otorgado a madres, padres, familiares o personas responsables del cuidado de niñas y niños de hasta 5 años 11 meses de edad.</t>
  </si>
  <si>
    <t>S04_A5</t>
  </si>
  <si>
    <t>Apoyos monetarios otorgados a instituciones privadas de cuidado infantil (estancias infantiles, guarderías, preescolares e instituciones de asistencia social)</t>
  </si>
  <si>
    <t>S05_B1</t>
  </si>
  <si>
    <t>Apoyos monetarios entregados a mujeres jefas de familia que tienen dependientes económicos menores de edad.</t>
  </si>
  <si>
    <t>S06_A1</t>
  </si>
  <si>
    <t>Paquetes escolares (mochila, útiles, uniforme y calzado escolar) entregados a estudiantes de nivel preescolar, primaria y secundaria del sistema público educativo.</t>
  </si>
  <si>
    <t>S07_A1</t>
  </si>
  <si>
    <t>Apoyos monetarios otorgados a la Sociedad Civil Organizada en la modalidad Coinversión</t>
  </si>
  <si>
    <t>S07_A2</t>
  </si>
  <si>
    <t>Apoyos monetarios otorgados a la Sociedad Civil Organizada en la modalidad Oncológica</t>
  </si>
  <si>
    <t>S08_A1</t>
  </si>
  <si>
    <t>Apoyos monetarios otorgados a instituciones para fortalecer la cohesión social y vida comunitaria  en los municipios con mayor  nivel de pobreza multidimensional del  estado de Jalisco</t>
  </si>
  <si>
    <t>S08_A2</t>
  </si>
  <si>
    <t>Apoyos monetarios entregados a pacientes o familiares de pacientes con cáncer o insuficiencia renal en situación de vulnerabilidad y a personas en situación de pobreza multidimensional, para favorecer la cohesión social y vida comunitaria</t>
  </si>
  <si>
    <t>S08_A4</t>
  </si>
  <si>
    <t>Apoyos monetarios otorgados a instituciones para la rehabilitación de la imagen urbana en los  municipios con mayor nivel de pobreza  multidimensional del estado de Jalisco,  favoreciendo la cohesión social y vida comunitaria.</t>
  </si>
  <si>
    <t>S08_C5</t>
  </si>
  <si>
    <t>Unidades de transporte motorizadas y  no motorizadas entregadas a instituciones del estado de Jalisco para favorecer el  traslado de población que habitan municipios del  estado de Jalisco en situación de pobreza  multidimensional</t>
  </si>
  <si>
    <t>S09_C3</t>
  </si>
  <si>
    <t>Apoyos monetarios para gastos educativos de nivel superior entregados a hijas e hijos de policías activos que residan y/o que presten sus servicios en Jalisco</t>
  </si>
  <si>
    <t>12</t>
  </si>
  <si>
    <t>Secretaría de Innovación, Ciencia y Tecnológia</t>
  </si>
  <si>
    <t>12_000</t>
  </si>
  <si>
    <t>S24_C1</t>
  </si>
  <si>
    <t>Fortalecimiento de ecosistemas regionales a través de la innovación y emprendimiento</t>
  </si>
  <si>
    <t>S22_C2</t>
  </si>
  <si>
    <t>Fortalecimiento de la Cultura de Innovación, Ciencia y Tecnología</t>
  </si>
  <si>
    <t>S21_03</t>
  </si>
  <si>
    <t>Apoyos de Educación Superior para Jóvenes LEGADO</t>
  </si>
  <si>
    <t>S21_C2</t>
  </si>
  <si>
    <t>Impulso y Fortalecimiento a la Educación Superior</t>
  </si>
  <si>
    <t>067</t>
  </si>
  <si>
    <t>12_067</t>
  </si>
  <si>
    <t>Consejo Estatal de Ciencia y Tecnología del Estado de Jalisco</t>
  </si>
  <si>
    <t>S2N_01</t>
  </si>
  <si>
    <t>Gestión de fondos y programas de apoyo a la Ciencia, Tecnología e Innovación</t>
  </si>
  <si>
    <t>S2N_02</t>
  </si>
  <si>
    <t>S2N_03</t>
  </si>
  <si>
    <t>S2N_04</t>
  </si>
  <si>
    <t>S2N_05</t>
  </si>
  <si>
    <t>202</t>
  </si>
  <si>
    <t>12_202</t>
  </si>
  <si>
    <t>Agencia para el Desarrollo de Industrias Creativas y Digitales del Estado de Jalisco</t>
  </si>
  <si>
    <t>S2L_03</t>
  </si>
  <si>
    <t>Proyectos de alto impacto impulsados con o sin subsidio público</t>
  </si>
  <si>
    <t>S2L_01</t>
  </si>
  <si>
    <t>Proyectos estratégicos para el desarrollo de las Industrias Creativas y Digitales dirigidos a micro, pequeñas y medianas empresas, que podrían ser impulsados mediante organismos, asociaciones y entidades especializadas</t>
  </si>
  <si>
    <t>13</t>
  </si>
  <si>
    <t>Secretaría de Cultura</t>
  </si>
  <si>
    <t>13_000</t>
  </si>
  <si>
    <t>Secretaría de cultura</t>
  </si>
  <si>
    <t>SC1_C1</t>
  </si>
  <si>
    <t>Fondo Talleres en Casas de la Cultura</t>
  </si>
  <si>
    <t>SC1_C2</t>
  </si>
  <si>
    <t>Fondo Jalisco de Animación Cultural</t>
  </si>
  <si>
    <t>SC3_C4</t>
  </si>
  <si>
    <t>Programa de Apoyo a las Cultura Municipales y Comunitarias (PACMYC)</t>
  </si>
  <si>
    <t>Federal</t>
  </si>
  <si>
    <t>SC4_C7</t>
  </si>
  <si>
    <t>Programa de Estímulo a la Creación y al Desarrollo Artístico (PECDA)</t>
  </si>
  <si>
    <t>SC4_C1</t>
  </si>
  <si>
    <t>Proyecta Producción</t>
  </si>
  <si>
    <t>SC4_C2</t>
  </si>
  <si>
    <t>Proyecta Traslados</t>
  </si>
  <si>
    <t>SC4_C4</t>
  </si>
  <si>
    <t>Programa de Fomento Editorial</t>
  </si>
  <si>
    <t>SC4_C6</t>
  </si>
  <si>
    <t>Habita la Escena</t>
  </si>
  <si>
    <t>083</t>
  </si>
  <si>
    <t>13_083</t>
  </si>
  <si>
    <t>Fideicomiso Fondo Estatal para la Cultura y las Artes FEFCA</t>
  </si>
  <si>
    <t>S3G_A1</t>
  </si>
  <si>
    <t>Programa ECOS, Música para la Paz</t>
  </si>
  <si>
    <t>S3G_A2</t>
  </si>
  <si>
    <t>15</t>
  </si>
  <si>
    <t xml:space="preserve">Secretaría de Transporte </t>
  </si>
  <si>
    <t>15_000</t>
  </si>
  <si>
    <t>ST2_B4</t>
  </si>
  <si>
    <t xml:space="preserve">Mujeres Conductoras </t>
  </si>
  <si>
    <t>38</t>
  </si>
  <si>
    <t xml:space="preserve">Secretaría de Gestión Integral del Agua </t>
  </si>
  <si>
    <t>023</t>
  </si>
  <si>
    <t>38_023</t>
  </si>
  <si>
    <t xml:space="preserve">Comisión Estatal del Agua </t>
  </si>
  <si>
    <t>S3B_D1</t>
  </si>
  <si>
    <t xml:space="preserve">Nidos de LLuvia </t>
  </si>
  <si>
    <t>S3B_D2</t>
  </si>
  <si>
    <t>39</t>
  </si>
  <si>
    <t xml:space="preserve">Secretaría de Igualdad Sustantiva entre Mujeres y Hombres </t>
  </si>
  <si>
    <t>39_000</t>
  </si>
  <si>
    <t>SM1_B1</t>
  </si>
  <si>
    <t xml:space="preserve">Fuerza Mujeres </t>
  </si>
  <si>
    <t>SM1_B3</t>
  </si>
  <si>
    <t xml:space="preserve">Empresarias de Alto Impacto </t>
  </si>
  <si>
    <t>SM2_H6</t>
  </si>
  <si>
    <t>Apoyos económicos para las Hijas e Hijos de Mujeres Víctimas de Feminicidio</t>
  </si>
  <si>
    <t>SM2_H4</t>
  </si>
  <si>
    <t xml:space="preserve">Barrios de Paz </t>
  </si>
  <si>
    <t>SM2_H5</t>
  </si>
  <si>
    <t>Estrategia Ale</t>
  </si>
  <si>
    <t>SM3_B3</t>
  </si>
  <si>
    <t xml:space="preserve">Asosiaciones por la Igualdad </t>
  </si>
  <si>
    <t>096</t>
  </si>
  <si>
    <t>39_096</t>
  </si>
  <si>
    <t xml:space="preserve">Red de Centros de Justicia para las Mujeres </t>
  </si>
  <si>
    <t>SM9_H2</t>
  </si>
  <si>
    <t>Reglas de Operación para la Atención Especializada de Necesidades Complementarias de las Usuarias de los Centros de Justicia para las Mujeres del Estado de Jalisco</t>
  </si>
  <si>
    <t xml:space="preserve">Estatal </t>
  </si>
  <si>
    <t>43</t>
  </si>
  <si>
    <t>Coordinación General Estratégica de Desarrollo Social</t>
  </si>
  <si>
    <t>045</t>
  </si>
  <si>
    <t>43_045</t>
  </si>
  <si>
    <t>Sistema para el Desarrollo Integral de la Familia Jalisco (DIF)</t>
  </si>
  <si>
    <t>SD1_C1</t>
  </si>
  <si>
    <t>Programa de Atención a Grupos Prioritarios</t>
  </si>
  <si>
    <t>SD1_C2</t>
  </si>
  <si>
    <t>SD1_C3</t>
  </si>
  <si>
    <t>SD1_A4</t>
  </si>
  <si>
    <t>SD2_C1</t>
  </si>
  <si>
    <t>Programa de Salud y Bienestar Comunitario PSBC</t>
  </si>
  <si>
    <t>SD2_C2</t>
  </si>
  <si>
    <t>SD2_C3</t>
  </si>
  <si>
    <t>Programa DIF Pilares</t>
  </si>
  <si>
    <t>SD3_C1</t>
  </si>
  <si>
    <t xml:space="preserve">Apoyos Asistenciales a Personas en Situación Prioritaria </t>
  </si>
  <si>
    <t>SD3_A5</t>
  </si>
  <si>
    <t>Estrategias de formación y apoyos económicos otorgados para la prevención de riesgos psicosociales y atención a la niñez</t>
  </si>
  <si>
    <t>SD3_G6</t>
  </si>
  <si>
    <t>Acompañar la ausencia a personas familiares víctimas indirectas de una desaparición, en el Estado de Jalisco: apoyo a municipios (nombre preeliminar)</t>
  </si>
  <si>
    <t>SD3_C8</t>
  </si>
  <si>
    <t>Apoyos asistenciales otorgados a población vulnerable. (Nombre preeliminar)</t>
  </si>
  <si>
    <t>SD3_G9</t>
  </si>
  <si>
    <t>Acompañar la ausencia a personas familiares víctimas indirectas de una desaparición, en el Estado de Jalisco: apoyo directo (Nombre preeliminar)</t>
  </si>
  <si>
    <t>SD4_A3</t>
  </si>
  <si>
    <t>Atención y Representación de Niñas, Niños y Adolescentes para la Protección y Restitución de sus Derechos en el Estado de Jalisco</t>
  </si>
  <si>
    <t>SD5_C1</t>
  </si>
  <si>
    <t>Fortalecer las acciones para la atención y/o reintegración de personas en situación de calle, en contexto de movilidad, tránsito, retorno o en condición de vulnerabilidad en el estado de Jalisco</t>
  </si>
  <si>
    <t>SD5_C3</t>
  </si>
  <si>
    <t>Apoyos a Personas con Discapacidad en el Estado de Jalisco</t>
  </si>
  <si>
    <t>SD6_C1</t>
  </si>
  <si>
    <t xml:space="preserve">Transferencias Económicas para el Fortalecimiento de la Atención Alimentaria </t>
  </si>
  <si>
    <t>SD6_C2</t>
  </si>
  <si>
    <t>Equipamientos para Fortalecer la Atención Alimentaria</t>
  </si>
  <si>
    <t>SD6_A3</t>
  </si>
  <si>
    <t>Programa de Alimentación Escolar</t>
  </si>
  <si>
    <t>SD6_C4</t>
  </si>
  <si>
    <t>Programa de Atención Alimentaria a Personas en Situación de Vulnerabilidad</t>
  </si>
  <si>
    <t>SD6_C5</t>
  </si>
  <si>
    <t>Programa de Atención Alimentaria en los Primeros 1,000 Días y Primera Infancia</t>
  </si>
  <si>
    <t>SD6_C6</t>
  </si>
  <si>
    <t>Comedores Comunitarios</t>
  </si>
  <si>
    <t>SD6_C7</t>
  </si>
  <si>
    <t>Despensas Alimentarias</t>
  </si>
  <si>
    <t>54</t>
  </si>
  <si>
    <t>Instituto Jalisciense de la Vivienda</t>
  </si>
  <si>
    <t>54_000</t>
  </si>
  <si>
    <t>S5V_C8</t>
  </si>
  <si>
    <t>Mi Primera Renta</t>
  </si>
  <si>
    <t>S5V_D3</t>
  </si>
  <si>
    <t>Acondicionamiento de Vivienda para PCD</t>
  </si>
  <si>
    <t>S5V_C1</t>
  </si>
  <si>
    <t>Mejoramiento de Vivienda</t>
  </si>
  <si>
    <t>S5V_D2</t>
  </si>
  <si>
    <t>Jalisco Si Pinta</t>
  </si>
  <si>
    <t>04</t>
  </si>
  <si>
    <t xml:space="preserve">Secretaría de Educación </t>
  </si>
  <si>
    <t>04_000</t>
  </si>
  <si>
    <t>SE1_A4</t>
  </si>
  <si>
    <t xml:space="preserve">Programa Ayuda Económica para NIñas del Internado Beatriz Hernández </t>
  </si>
  <si>
    <t>SE3_A1</t>
  </si>
  <si>
    <t xml:space="preserve">Becas Jalisco Contigo </t>
  </si>
  <si>
    <t>SE3_A2</t>
  </si>
  <si>
    <t xml:space="preserve">Becas Talento </t>
  </si>
  <si>
    <t>SE6_B4</t>
  </si>
  <si>
    <t xml:space="preserve">Programa Ayuda Económica para las y los Estudiantes de la Escuela Normal Rural Miguel Hidalgo </t>
  </si>
  <si>
    <t>14</t>
  </si>
  <si>
    <t>Secretaría de Trabajo y Previsión Social</t>
  </si>
  <si>
    <t>14_000</t>
  </si>
  <si>
    <t xml:space="preserve">Secretaría de Trabajo y Previsión Social </t>
  </si>
  <si>
    <t>S41_C1</t>
  </si>
  <si>
    <t xml:space="preserve">Empleo Temporal al Estilo Jalisco  </t>
  </si>
  <si>
    <t>S41_C2</t>
  </si>
  <si>
    <t>S48_01</t>
  </si>
  <si>
    <t xml:space="preserve">Jale seguro al estilo Jalisco </t>
  </si>
  <si>
    <t>S48_02</t>
  </si>
  <si>
    <t>S48_03</t>
  </si>
  <si>
    <t>S42_C1</t>
  </si>
  <si>
    <t xml:space="preserve">Programa Apoyo al Empleo </t>
  </si>
  <si>
    <t>S42_C2</t>
  </si>
  <si>
    <t xml:space="preserve">Programa Hecho al Estilo Jalisco </t>
  </si>
  <si>
    <t>S42_C3</t>
  </si>
  <si>
    <t>S42_C4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</si>
</sst>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color theme="1"/>
      <name val="Arial"/>
      <scheme val="minor"/>
    </font>
    <font>
      <color theme="1"/>
      <name val="Nunito"/>
    </font>
    <font>
      <sz val="10.0"/>
      <color rgb="FF00000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quotePrefix="1" borderId="0" fillId="0" fontId="4" numFmtId="49" xfId="0" applyAlignment="1" applyFont="1" applyNumberFormat="1">
      <alignment horizontal="center" readingOrder="0" shrinkToFit="0" vertical="center" wrapText="1"/>
    </xf>
    <xf borderId="0" fillId="3" fontId="5" numFmtId="49" xfId="0" applyAlignment="1" applyFill="1" applyFont="1" applyNumberFormat="1">
      <alignment horizontal="center" readingOrder="0" vertical="center"/>
    </xf>
    <xf borderId="0" fillId="4" fontId="4" numFmtId="49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la Marcela Padilla Chávez" id="{ebebed79-fc54-42d4-8ee1-ddee881ae283}" providerId="google-sheets"/>
  <x18tc:person displayName="Guillermo Amezcua Moreno" id="{84d09889-b309-458f-b5f2-1a2d7f4c5689}" providerId="google-sheets"/>
  <x18tc:person displayName="Mariana Claret Gutiérrez Márquez" id="{9d59c11e-6b30-4a4c-885b-1bc3d6cf8d21}" providerId="google-sheets"/>
  <x18tc:person displayName="Armando Yair Cárdenas Ávila" id="{80b8d47d-40c9-40a3-ab4c-e53b5163ddf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1" dT="2026-07-06T19:48:27.00" personId="{84d09889-b309-458f-b5f2-1a2d7f4c5689}" id="{8f805490-7448-4cd4-9e4e-944d9660b276}" done="0">
    <x18tc:text xml:space="preserve">A la espera de confirmación del nombre de la ROP, sin embargo ese es el tema de la intervención.</x18tc:text>
  </x18tc:threadedComment>
  <x18tc:threadedComment ref="H124" dT="2026-08-12T23:13:36.00" personId="{80b8d47d-40c9-40a3-ab4c-e53b5163ddf0}" id="{a550cadc-df1a-4928-9a9e-4e3806a428c3}" done="0">
    <x18tc:text xml:space="preserve">Solo tiene recurso propio</x18tc:text>
  </x18tc:threadedComment>
  <x18tc:threadedComment ref="F89" dT="2026-06-25T21:11:19.00" personId="{ebebed79-fc54-42d4-8ee1-ddee881ae283}" id="{30904eef-f54d-4189-9e8b-11e9a9b2ab7e}" done="0">
    <x18tc:text xml:space="preserve">Actalmente es un Lineamiento de Operación</x18tc:text>
  </x18tc:threadedComment>
  <x18tc:threadedComment ref="A1" dT="2026-07-06T19:50:38.00" personId="{84d09889-b309-458f-b5f2-1a2d7f4c5689}" id="{aa6e136c-a526-4dec-b704-d6a3b91272a5}" done="0">
    <x18tc:text xml:space="preserve">De momento se registra el nombre del componente; a la espera de nombre de la ROP.</x18tc:text>
  </x18tc:threadedComment>
  <x18tc:threadedComment ref="H122" dT="2026-08-12T23:13:08.00" personId="{80b8d47d-40c9-40a3-ab4c-e53b5163ddf0}" id="{bf49ada7-3a42-4bcc-a515-9cb452488ded}" done="0">
    <x18tc:text xml:space="preserve">Tiene recurso propio</x18tc:text>
  </x18tc:threadedComment>
  <x18tc:threadedComment ref="A1" dT="2026-08-03T23:05:51.00" personId="{9d59c11e-6b30-4a4c-885b-1bc3d6cf8d21}" id="{b9dfb719-717b-48c0-b3b9-8b3b0f80f084}" done="0">
    <x18tc:text xml:space="preserve">Le cambiaron la transversalidad</x18tc:text>
  </x18tc:threadedComment>
  <x18tc:threadedComment ref="F18" dT="2026-06-25T21:15:11.00" personId="{ebebed79-fc54-42d4-8ee1-ddee881ae283}" id="{cfcc6551-aed4-4354-baf2-8fda25389a65}" done="1">
    <x18tc:text xml:space="preserve">Actualmente cuenta con clasificación Programpatica  E</x18tc:text>
  </x18tc:threadedComment>
  <x18tc:threadedComment ref="F18" dT="2026-06-25T21:43:13.00" personId="{ebebed79-fc54-42d4-8ee1-ddee881ae283}" id="{2fe8c3f4-430a-4d6a-b8b5-06f7725732d1}" done="1">
    <x18tc:text xml:space="preserve">Actualmente cuenta con una clasificación programática con letra 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8.63"/>
    <col customWidth="1" min="3" max="3" width="6.38"/>
    <col customWidth="1" min="4" max="4" width="10.75"/>
    <col customWidth="1" min="5" max="5" width="23.0"/>
    <col customWidth="1" min="6" max="6" width="6.38"/>
    <col customWidth="1" min="7" max="7" width="13.5"/>
    <col customWidth="1" min="8" max="8" width="40.5"/>
    <col customWidth="1" min="9" max="9" width="12.25"/>
  </cols>
  <sheetData>
    <row r="1" ht="4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5" t="s">
        <v>11</v>
      </c>
      <c r="C2" s="5" t="s">
        <v>12</v>
      </c>
      <c r="D2" s="6" t="s">
        <v>13</v>
      </c>
      <c r="E2" s="5" t="s">
        <v>11</v>
      </c>
      <c r="F2" s="5" t="s">
        <v>14</v>
      </c>
      <c r="G2" s="5" t="s">
        <v>15</v>
      </c>
      <c r="H2" s="5" t="s">
        <v>16</v>
      </c>
      <c r="I2" s="5" t="s">
        <v>17</v>
      </c>
      <c r="J2" s="5" t="str">
        <f>IFERROR(__xludf.DUMMYFUNCTION("TEXT(MATCH(H2,UNIQUE(FILTER($H$2:$H1066,$H$2:$H1066&lt;&gt;"""")),0),""000"")"),"001")</f>
        <v>001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5" t="s">
        <v>11</v>
      </c>
      <c r="C3" s="5" t="s">
        <v>12</v>
      </c>
      <c r="D3" s="6" t="s">
        <v>13</v>
      </c>
      <c r="E3" s="5" t="s">
        <v>11</v>
      </c>
      <c r="F3" s="5" t="s">
        <v>14</v>
      </c>
      <c r="G3" s="5" t="s">
        <v>18</v>
      </c>
      <c r="H3" s="5" t="s">
        <v>16</v>
      </c>
      <c r="I3" s="5" t="s">
        <v>17</v>
      </c>
      <c r="J3" s="5" t="str">
        <f>IFERROR(__xludf.DUMMYFUNCTION("TEXT(MATCH(H3,UNIQUE(FILTER($H$2:$H1066,$H$2:$H1066&lt;&gt;"""")),0),""000"")"),"001")</f>
        <v>001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10</v>
      </c>
      <c r="B4" s="5" t="s">
        <v>11</v>
      </c>
      <c r="C4" s="5" t="s">
        <v>12</v>
      </c>
      <c r="D4" s="6" t="s">
        <v>13</v>
      </c>
      <c r="E4" s="5" t="s">
        <v>11</v>
      </c>
      <c r="F4" s="5" t="s">
        <v>14</v>
      </c>
      <c r="G4" s="5" t="s">
        <v>19</v>
      </c>
      <c r="H4" s="5" t="s">
        <v>16</v>
      </c>
      <c r="I4" s="5" t="s">
        <v>17</v>
      </c>
      <c r="J4" s="5" t="str">
        <f>IFERROR(__xludf.DUMMYFUNCTION("TEXT(MATCH(H4,UNIQUE(FILTER($H$2:$H1066,$H$2:$H1066&lt;&gt;"""")),0),""000"")"),"001")</f>
        <v>001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10</v>
      </c>
      <c r="B5" s="5" t="s">
        <v>11</v>
      </c>
      <c r="C5" s="5" t="s">
        <v>12</v>
      </c>
      <c r="D5" s="6" t="s">
        <v>13</v>
      </c>
      <c r="E5" s="5" t="s">
        <v>11</v>
      </c>
      <c r="F5" s="5" t="s">
        <v>14</v>
      </c>
      <c r="G5" s="5" t="s">
        <v>20</v>
      </c>
      <c r="H5" s="5" t="s">
        <v>21</v>
      </c>
      <c r="I5" s="5" t="s">
        <v>17</v>
      </c>
      <c r="J5" s="5" t="str">
        <f>IFERROR(__xludf.DUMMYFUNCTION("TEXT(MATCH(H5,UNIQUE(FILTER($H$2:$H1066,$H$2:$H1066&lt;&gt;"""")),0),""000"")"),"002")</f>
        <v>002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10</v>
      </c>
      <c r="B6" s="5" t="s">
        <v>11</v>
      </c>
      <c r="C6" s="5" t="s">
        <v>12</v>
      </c>
      <c r="D6" s="6" t="s">
        <v>13</v>
      </c>
      <c r="E6" s="5" t="s">
        <v>11</v>
      </c>
      <c r="F6" s="5" t="s">
        <v>14</v>
      </c>
      <c r="G6" s="5" t="s">
        <v>22</v>
      </c>
      <c r="H6" s="5" t="s">
        <v>23</v>
      </c>
      <c r="I6" s="5" t="s">
        <v>17</v>
      </c>
      <c r="J6" s="5" t="str">
        <f>IFERROR(__xludf.DUMMYFUNCTION("TEXT(MATCH(H6,UNIQUE(FILTER($H$2:$H1066,$H$2:$H1066&lt;&gt;"""")),0),""000"")"),"003")</f>
        <v>003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10</v>
      </c>
      <c r="B7" s="5" t="s">
        <v>11</v>
      </c>
      <c r="C7" s="5" t="s">
        <v>12</v>
      </c>
      <c r="D7" s="6" t="s">
        <v>13</v>
      </c>
      <c r="E7" s="5" t="s">
        <v>11</v>
      </c>
      <c r="F7" s="5" t="s">
        <v>14</v>
      </c>
      <c r="G7" s="5" t="s">
        <v>24</v>
      </c>
      <c r="H7" s="5" t="s">
        <v>16</v>
      </c>
      <c r="I7" s="5" t="s">
        <v>17</v>
      </c>
      <c r="J7" s="5" t="str">
        <f>IFERROR(__xludf.DUMMYFUNCTION("TEXT(MATCH(H7,UNIQUE(FILTER($H$2:$H1066,$H$2:$H1066&lt;&gt;"""")),0),""000"")"),"001")</f>
        <v>001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10</v>
      </c>
      <c r="B8" s="5" t="s">
        <v>11</v>
      </c>
      <c r="C8" s="5" t="s">
        <v>12</v>
      </c>
      <c r="D8" s="6" t="s">
        <v>13</v>
      </c>
      <c r="E8" s="5" t="s">
        <v>11</v>
      </c>
      <c r="F8" s="5" t="s">
        <v>25</v>
      </c>
      <c r="G8" s="5" t="s">
        <v>26</v>
      </c>
      <c r="H8" s="5" t="s">
        <v>27</v>
      </c>
      <c r="I8" s="5" t="s">
        <v>17</v>
      </c>
      <c r="J8" s="5" t="str">
        <f>IFERROR(__xludf.DUMMYFUNCTION("TEXT(MATCH(H8,UNIQUE(FILTER($H$2:$H1066,$H$2:$H1066&lt;&gt;"""")),0),""000"")"),"004")</f>
        <v>004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10</v>
      </c>
      <c r="B9" s="5" t="s">
        <v>11</v>
      </c>
      <c r="C9" s="5" t="s">
        <v>12</v>
      </c>
      <c r="D9" s="6" t="s">
        <v>13</v>
      </c>
      <c r="E9" s="5" t="s">
        <v>11</v>
      </c>
      <c r="F9" s="5" t="s">
        <v>25</v>
      </c>
      <c r="G9" s="5" t="s">
        <v>28</v>
      </c>
      <c r="H9" s="5" t="s">
        <v>29</v>
      </c>
      <c r="I9" s="5" t="s">
        <v>17</v>
      </c>
      <c r="J9" s="5" t="str">
        <f>IFERROR(__xludf.DUMMYFUNCTION("TEXT(MATCH(H9,UNIQUE(FILTER($H$2:$H1066,$H$2:$H1066&lt;&gt;"""")),0),""000"")"),"005")</f>
        <v>005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10</v>
      </c>
      <c r="B10" s="5" t="s">
        <v>11</v>
      </c>
      <c r="C10" s="5" t="s">
        <v>12</v>
      </c>
      <c r="D10" s="6" t="s">
        <v>13</v>
      </c>
      <c r="E10" s="5" t="s">
        <v>11</v>
      </c>
      <c r="F10" s="5" t="s">
        <v>25</v>
      </c>
      <c r="G10" s="5" t="s">
        <v>30</v>
      </c>
      <c r="H10" s="5" t="s">
        <v>31</v>
      </c>
      <c r="I10" s="5" t="s">
        <v>17</v>
      </c>
      <c r="J10" s="5" t="str">
        <f>IFERROR(__xludf.DUMMYFUNCTION("TEXT(MATCH(H10,UNIQUE(FILTER($H$2:$H1066,$H$2:$H1066&lt;&gt;"""")),0),""000"")"),"006")</f>
        <v>006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10</v>
      </c>
      <c r="B11" s="5" t="s">
        <v>11</v>
      </c>
      <c r="C11" s="5" t="s">
        <v>12</v>
      </c>
      <c r="D11" s="6" t="s">
        <v>13</v>
      </c>
      <c r="E11" s="5" t="s">
        <v>11</v>
      </c>
      <c r="F11" s="5" t="s">
        <v>25</v>
      </c>
      <c r="G11" s="5" t="s">
        <v>32</v>
      </c>
      <c r="H11" s="5" t="s">
        <v>33</v>
      </c>
      <c r="I11" s="5" t="s">
        <v>17</v>
      </c>
      <c r="J11" s="5" t="str">
        <f>IFERROR(__xludf.DUMMYFUNCTION("TEXT(MATCH(H11,UNIQUE(FILTER($H$2:$H1066,$H$2:$H1066&lt;&gt;"""")),0),""000"")"),"007")</f>
        <v>007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10</v>
      </c>
      <c r="B12" s="5" t="s">
        <v>11</v>
      </c>
      <c r="C12" s="5" t="s">
        <v>12</v>
      </c>
      <c r="D12" s="6" t="s">
        <v>13</v>
      </c>
      <c r="E12" s="5" t="s">
        <v>11</v>
      </c>
      <c r="F12" s="5" t="s">
        <v>25</v>
      </c>
      <c r="G12" s="5" t="s">
        <v>34</v>
      </c>
      <c r="H12" s="5" t="s">
        <v>35</v>
      </c>
      <c r="I12" s="5" t="s">
        <v>17</v>
      </c>
      <c r="J12" s="5" t="str">
        <f>IFERROR(__xludf.DUMMYFUNCTION("TEXT(MATCH(H12,UNIQUE(FILTER($H$2:$H1066,$H$2:$H1066&lt;&gt;"""")),0),""000"")"),"008")</f>
        <v>008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10</v>
      </c>
      <c r="B13" s="5" t="s">
        <v>11</v>
      </c>
      <c r="C13" s="5" t="s">
        <v>12</v>
      </c>
      <c r="D13" s="6" t="s">
        <v>13</v>
      </c>
      <c r="E13" s="5" t="s">
        <v>11</v>
      </c>
      <c r="F13" s="5" t="s">
        <v>25</v>
      </c>
      <c r="G13" s="5" t="s">
        <v>36</v>
      </c>
      <c r="H13" s="5" t="s">
        <v>37</v>
      </c>
      <c r="I13" s="5" t="s">
        <v>17</v>
      </c>
      <c r="J13" s="5" t="str">
        <f>IFERROR(__xludf.DUMMYFUNCTION("TEXT(MATCH(H13,UNIQUE(FILTER($H$2:$H1066,$H$2:$H1066&lt;&gt;"""")),0),""000"")"),"009")</f>
        <v>009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10</v>
      </c>
      <c r="B14" s="5" t="s">
        <v>11</v>
      </c>
      <c r="C14" s="5" t="s">
        <v>38</v>
      </c>
      <c r="D14" s="6" t="s">
        <v>39</v>
      </c>
      <c r="E14" s="5" t="s">
        <v>40</v>
      </c>
      <c r="F14" s="5" t="s">
        <v>25</v>
      </c>
      <c r="G14" s="5" t="s">
        <v>41</v>
      </c>
      <c r="H14" s="5" t="s">
        <v>42</v>
      </c>
      <c r="I14" s="5" t="s">
        <v>17</v>
      </c>
      <c r="J14" s="5" t="str">
        <f>IFERROR(__xludf.DUMMYFUNCTION("TEXT(MATCH(H14,UNIQUE(FILTER($H$2:$H1066,$H$2:$H1066&lt;&gt;"""")),0),""000"")"),"010")</f>
        <v>010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10</v>
      </c>
      <c r="B15" s="5" t="s">
        <v>11</v>
      </c>
      <c r="C15" s="5" t="s">
        <v>38</v>
      </c>
      <c r="D15" s="6" t="s">
        <v>39</v>
      </c>
      <c r="E15" s="5" t="s">
        <v>40</v>
      </c>
      <c r="F15" s="5" t="s">
        <v>14</v>
      </c>
      <c r="G15" s="5" t="s">
        <v>43</v>
      </c>
      <c r="H15" s="5" t="s">
        <v>44</v>
      </c>
      <c r="I15" s="5" t="s">
        <v>17</v>
      </c>
      <c r="J15" s="5" t="str">
        <f>IFERROR(__xludf.DUMMYFUNCTION("TEXT(MATCH(H15,UNIQUE(FILTER($H$2:$H1066,$H$2:$H1066&lt;&gt;"""")),0),""000"")"),"011")</f>
        <v>011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10</v>
      </c>
      <c r="B16" s="5" t="s">
        <v>11</v>
      </c>
      <c r="C16" s="5" t="s">
        <v>45</v>
      </c>
      <c r="D16" s="5" t="s">
        <v>46</v>
      </c>
      <c r="E16" s="5" t="s">
        <v>47</v>
      </c>
      <c r="F16" s="5" t="s">
        <v>14</v>
      </c>
      <c r="G16" s="5" t="s">
        <v>48</v>
      </c>
      <c r="H16" s="5" t="s">
        <v>49</v>
      </c>
      <c r="I16" s="5" t="s">
        <v>17</v>
      </c>
      <c r="J16" s="5" t="str">
        <f>IFERROR(__xludf.DUMMYFUNCTION("TEXT(MATCH(H16,UNIQUE(FILTER($H$2:$H1066,$H$2:$H1066&lt;&gt;"""")),0),""000"")"),"012")</f>
        <v>012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50</v>
      </c>
      <c r="B17" s="5" t="s">
        <v>51</v>
      </c>
      <c r="C17" s="5" t="s">
        <v>52</v>
      </c>
      <c r="D17" s="6" t="s">
        <v>53</v>
      </c>
      <c r="E17" s="5" t="s">
        <v>54</v>
      </c>
      <c r="F17" s="5" t="s">
        <v>14</v>
      </c>
      <c r="G17" s="5" t="s">
        <v>55</v>
      </c>
      <c r="H17" s="5" t="s">
        <v>56</v>
      </c>
      <c r="I17" s="5" t="s">
        <v>17</v>
      </c>
      <c r="J17" s="5" t="str">
        <f>IFERROR(__xludf.DUMMYFUNCTION("TEXT(MATCH(H17,UNIQUE(FILTER($H$2:$H1066,$H$2:$H1066&lt;&gt;"""")),0),""000"")"),"013")</f>
        <v>013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50</v>
      </c>
      <c r="B18" s="5" t="s">
        <v>51</v>
      </c>
      <c r="C18" s="5" t="s">
        <v>52</v>
      </c>
      <c r="D18" s="6" t="s">
        <v>53</v>
      </c>
      <c r="E18" s="5" t="s">
        <v>54</v>
      </c>
      <c r="F18" s="5" t="s">
        <v>25</v>
      </c>
      <c r="G18" s="5" t="s">
        <v>57</v>
      </c>
      <c r="H18" s="5" t="s">
        <v>58</v>
      </c>
      <c r="I18" s="5" t="s">
        <v>17</v>
      </c>
      <c r="J18" s="5" t="str">
        <f>IFERROR(__xludf.DUMMYFUNCTION("TEXT(MATCH(H18,UNIQUE(FILTER($H$2:$H1066,$H$2:$H1066&lt;&gt;"""")),0),""000"")"),"014")</f>
        <v>014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59</v>
      </c>
      <c r="B19" s="5" t="s">
        <v>60</v>
      </c>
      <c r="C19" s="5" t="s">
        <v>12</v>
      </c>
      <c r="D19" s="6" t="s">
        <v>61</v>
      </c>
      <c r="E19" s="5" t="s">
        <v>60</v>
      </c>
      <c r="F19" s="5" t="s">
        <v>14</v>
      </c>
      <c r="G19" s="5" t="s">
        <v>62</v>
      </c>
      <c r="H19" s="5" t="s">
        <v>63</v>
      </c>
      <c r="I19" s="5" t="s">
        <v>17</v>
      </c>
      <c r="J19" s="5" t="str">
        <f>IFERROR(__xludf.DUMMYFUNCTION("TEXT(MATCH(H19,UNIQUE(FILTER($H$2:$H1066,$H$2:$H1066&lt;&gt;"""")),0),""000"")"),"015")</f>
        <v>015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59</v>
      </c>
      <c r="B20" s="5" t="s">
        <v>60</v>
      </c>
      <c r="C20" s="5" t="s">
        <v>12</v>
      </c>
      <c r="D20" s="6" t="s">
        <v>61</v>
      </c>
      <c r="E20" s="5" t="s">
        <v>60</v>
      </c>
      <c r="F20" s="5" t="s">
        <v>14</v>
      </c>
      <c r="G20" s="5" t="s">
        <v>64</v>
      </c>
      <c r="H20" s="5" t="s">
        <v>65</v>
      </c>
      <c r="I20" s="5" t="s">
        <v>17</v>
      </c>
      <c r="J20" s="5" t="str">
        <f>IFERROR(__xludf.DUMMYFUNCTION("TEXT(MATCH(H20,UNIQUE(FILTER($H$2:$H1066,$H$2:$H1066&lt;&gt;"""")),0),""000"")"),"016")</f>
        <v>016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59</v>
      </c>
      <c r="B21" s="5" t="s">
        <v>60</v>
      </c>
      <c r="C21" s="5" t="s">
        <v>12</v>
      </c>
      <c r="D21" s="6" t="s">
        <v>61</v>
      </c>
      <c r="E21" s="5" t="s">
        <v>60</v>
      </c>
      <c r="F21" s="5" t="s">
        <v>14</v>
      </c>
      <c r="G21" s="5" t="s">
        <v>66</v>
      </c>
      <c r="H21" s="5" t="s">
        <v>67</v>
      </c>
      <c r="I21" s="5" t="s">
        <v>17</v>
      </c>
      <c r="J21" s="5" t="str">
        <f>IFERROR(__xludf.DUMMYFUNCTION("TEXT(MATCH(H21,UNIQUE(FILTER($H$2:$H1066,$H$2:$H1066&lt;&gt;"""")),0),""000"")"),"017")</f>
        <v>017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59</v>
      </c>
      <c r="B22" s="5" t="s">
        <v>60</v>
      </c>
      <c r="C22" s="5" t="s">
        <v>68</v>
      </c>
      <c r="D22" s="6" t="s">
        <v>69</v>
      </c>
      <c r="E22" s="5" t="s">
        <v>70</v>
      </c>
      <c r="F22" s="5" t="s">
        <v>25</v>
      </c>
      <c r="G22" s="5" t="s">
        <v>71</v>
      </c>
      <c r="H22" s="5" t="s">
        <v>72</v>
      </c>
      <c r="I22" s="5" t="s">
        <v>17</v>
      </c>
      <c r="J22" s="5" t="str">
        <f>IFERROR(__xludf.DUMMYFUNCTION("TEXT(MATCH(H22,UNIQUE(FILTER($H$2:$H1066,$H$2:$H1066&lt;&gt;"""")),0),""000"")"),"018")</f>
        <v>018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59</v>
      </c>
      <c r="B23" s="5" t="s">
        <v>60</v>
      </c>
      <c r="C23" s="5" t="s">
        <v>68</v>
      </c>
      <c r="D23" s="6" t="s">
        <v>69</v>
      </c>
      <c r="E23" s="5" t="s">
        <v>70</v>
      </c>
      <c r="F23" s="5" t="s">
        <v>14</v>
      </c>
      <c r="G23" s="5" t="s">
        <v>73</v>
      </c>
      <c r="H23" s="5" t="s">
        <v>74</v>
      </c>
      <c r="I23" s="5" t="s">
        <v>17</v>
      </c>
      <c r="J23" s="5" t="str">
        <f>IFERROR(__xludf.DUMMYFUNCTION("TEXT(MATCH(H23,UNIQUE(FILTER($H$2:$H1066,$H$2:$H1066&lt;&gt;"""")),0),""000"")"),"019")</f>
        <v>019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75</v>
      </c>
      <c r="B24" s="5" t="s">
        <v>76</v>
      </c>
      <c r="C24" s="5" t="s">
        <v>12</v>
      </c>
      <c r="D24" s="6" t="s">
        <v>77</v>
      </c>
      <c r="E24" s="5" t="s">
        <v>76</v>
      </c>
      <c r="F24" s="5" t="s">
        <v>25</v>
      </c>
      <c r="G24" s="5" t="s">
        <v>78</v>
      </c>
      <c r="H24" s="5" t="s">
        <v>79</v>
      </c>
      <c r="I24" s="5" t="s">
        <v>17</v>
      </c>
      <c r="J24" s="5" t="str">
        <f>IFERROR(__xludf.DUMMYFUNCTION("TEXT(MATCH(H24,UNIQUE(FILTER($H$2:$H1066,$H$2:$H1066&lt;&gt;"""")),0),""000"")"),"020")</f>
        <v>020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75</v>
      </c>
      <c r="B25" s="5" t="s">
        <v>76</v>
      </c>
      <c r="C25" s="5" t="s">
        <v>12</v>
      </c>
      <c r="D25" s="6" t="s">
        <v>77</v>
      </c>
      <c r="E25" s="5" t="s">
        <v>76</v>
      </c>
      <c r="F25" s="5" t="s">
        <v>14</v>
      </c>
      <c r="G25" s="5" t="s">
        <v>80</v>
      </c>
      <c r="H25" s="5" t="s">
        <v>81</v>
      </c>
      <c r="I25" s="5" t="s">
        <v>17</v>
      </c>
      <c r="J25" s="5" t="str">
        <f>IFERROR(__xludf.DUMMYFUNCTION("TEXT(MATCH(H25,UNIQUE(FILTER($H$2:$H1066,$H$2:$H1066&lt;&gt;"""")),0),""000"")"),"021")</f>
        <v>021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82</v>
      </c>
      <c r="B26" s="5" t="s">
        <v>83</v>
      </c>
      <c r="C26" s="5" t="s">
        <v>12</v>
      </c>
      <c r="D26" s="6" t="s">
        <v>84</v>
      </c>
      <c r="E26" s="5" t="s">
        <v>83</v>
      </c>
      <c r="F26" s="5" t="s">
        <v>14</v>
      </c>
      <c r="G26" s="5" t="s">
        <v>85</v>
      </c>
      <c r="H26" s="5" t="s">
        <v>86</v>
      </c>
      <c r="I26" s="5" t="s">
        <v>17</v>
      </c>
      <c r="J26" s="5" t="str">
        <f>IFERROR(__xludf.DUMMYFUNCTION("TEXT(MATCH(H26,UNIQUE(FILTER($H$2:$H1066,$H$2:$H1066&lt;&gt;"""")),0),""000"")"),"022")</f>
        <v>022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82</v>
      </c>
      <c r="B27" s="5" t="s">
        <v>83</v>
      </c>
      <c r="C27" s="5" t="s">
        <v>12</v>
      </c>
      <c r="D27" s="6" t="s">
        <v>84</v>
      </c>
      <c r="E27" s="5" t="s">
        <v>83</v>
      </c>
      <c r="F27" s="5" t="s">
        <v>14</v>
      </c>
      <c r="G27" s="5" t="s">
        <v>87</v>
      </c>
      <c r="H27" s="5" t="s">
        <v>88</v>
      </c>
      <c r="I27" s="5" t="s">
        <v>17</v>
      </c>
      <c r="J27" s="5" t="str">
        <f>IFERROR(__xludf.DUMMYFUNCTION("TEXT(MATCH(H27,UNIQUE(FILTER($H$2:$H1066,$H$2:$H1066&lt;&gt;"""")),0),""000"")"),"023")</f>
        <v>023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82</v>
      </c>
      <c r="B28" s="5" t="s">
        <v>83</v>
      </c>
      <c r="C28" s="5" t="s">
        <v>12</v>
      </c>
      <c r="D28" s="6" t="s">
        <v>84</v>
      </c>
      <c r="E28" s="5" t="s">
        <v>83</v>
      </c>
      <c r="F28" s="5" t="s">
        <v>14</v>
      </c>
      <c r="G28" s="5" t="s">
        <v>89</v>
      </c>
      <c r="H28" s="5" t="s">
        <v>90</v>
      </c>
      <c r="I28" s="5" t="s">
        <v>17</v>
      </c>
      <c r="J28" s="5" t="str">
        <f>IFERROR(__xludf.DUMMYFUNCTION("TEXT(MATCH(H28,UNIQUE(FILTER($H$2:$H1066,$H$2:$H1066&lt;&gt;"""")),0),""000"")"),"024")</f>
        <v>024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82</v>
      </c>
      <c r="B29" s="5" t="s">
        <v>83</v>
      </c>
      <c r="C29" s="5" t="s">
        <v>12</v>
      </c>
      <c r="D29" s="6" t="s">
        <v>84</v>
      </c>
      <c r="E29" s="5" t="s">
        <v>83</v>
      </c>
      <c r="F29" s="5" t="s">
        <v>14</v>
      </c>
      <c r="G29" s="5" t="s">
        <v>91</v>
      </c>
      <c r="H29" s="5" t="s">
        <v>92</v>
      </c>
      <c r="I29" s="5" t="s">
        <v>17</v>
      </c>
      <c r="J29" s="5" t="str">
        <f>IFERROR(__xludf.DUMMYFUNCTION("TEXT(MATCH(H29,UNIQUE(FILTER($H$2:$H1066,$H$2:$H1066&lt;&gt;"""")),0),""000"")"),"025")</f>
        <v>025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82</v>
      </c>
      <c r="B30" s="5" t="s">
        <v>83</v>
      </c>
      <c r="C30" s="5" t="s">
        <v>12</v>
      </c>
      <c r="D30" s="6" t="s">
        <v>84</v>
      </c>
      <c r="E30" s="5" t="s">
        <v>83</v>
      </c>
      <c r="F30" s="5" t="s">
        <v>14</v>
      </c>
      <c r="G30" s="5" t="s">
        <v>93</v>
      </c>
      <c r="H30" s="5" t="s">
        <v>94</v>
      </c>
      <c r="I30" s="5" t="s">
        <v>17</v>
      </c>
      <c r="J30" s="5" t="str">
        <f>IFERROR(__xludf.DUMMYFUNCTION("TEXT(MATCH(H30,UNIQUE(FILTER($H$2:$H1066,$H$2:$H1066&lt;&gt;"""")),0),""000"")"),"026")</f>
        <v>026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82</v>
      </c>
      <c r="B31" s="5" t="s">
        <v>83</v>
      </c>
      <c r="C31" s="5" t="s">
        <v>12</v>
      </c>
      <c r="D31" s="6" t="s">
        <v>84</v>
      </c>
      <c r="E31" s="5" t="s">
        <v>83</v>
      </c>
      <c r="F31" s="5" t="s">
        <v>25</v>
      </c>
      <c r="G31" s="5" t="s">
        <v>95</v>
      </c>
      <c r="H31" s="5" t="s">
        <v>96</v>
      </c>
      <c r="I31" s="5" t="s">
        <v>17</v>
      </c>
      <c r="J31" s="5" t="str">
        <f>IFERROR(__xludf.DUMMYFUNCTION("TEXT(MATCH(H31,UNIQUE(FILTER($H$2:$H1066,$H$2:$H1066&lt;&gt;"""")),0),""000"")"),"027")</f>
        <v>027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82</v>
      </c>
      <c r="B32" s="5" t="s">
        <v>83</v>
      </c>
      <c r="C32" s="5" t="s">
        <v>12</v>
      </c>
      <c r="D32" s="6" t="s">
        <v>84</v>
      </c>
      <c r="E32" s="5" t="s">
        <v>83</v>
      </c>
      <c r="F32" s="5" t="s">
        <v>25</v>
      </c>
      <c r="G32" s="5" t="s">
        <v>97</v>
      </c>
      <c r="H32" s="5" t="s">
        <v>98</v>
      </c>
      <c r="I32" s="5" t="s">
        <v>17</v>
      </c>
      <c r="J32" s="5" t="str">
        <f>IFERROR(__xludf.DUMMYFUNCTION("TEXT(MATCH(H32,UNIQUE(FILTER($H$2:$H1066,$H$2:$H1066&lt;&gt;"""")),0),""000"")"),"028")</f>
        <v>028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82</v>
      </c>
      <c r="B33" s="5" t="s">
        <v>83</v>
      </c>
      <c r="C33" s="5" t="s">
        <v>12</v>
      </c>
      <c r="D33" s="6" t="s">
        <v>84</v>
      </c>
      <c r="E33" s="5" t="s">
        <v>83</v>
      </c>
      <c r="F33" s="5" t="s">
        <v>14</v>
      </c>
      <c r="G33" s="5" t="s">
        <v>99</v>
      </c>
      <c r="H33" s="5" t="s">
        <v>100</v>
      </c>
      <c r="I33" s="5" t="s">
        <v>17</v>
      </c>
      <c r="J33" s="5" t="str">
        <f>IFERROR(__xludf.DUMMYFUNCTION("TEXT(MATCH(H33,UNIQUE(FILTER($H$2:$H1066,$H$2:$H1066&lt;&gt;"""")),0),""000"")"),"029")</f>
        <v>029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82</v>
      </c>
      <c r="B34" s="5" t="s">
        <v>83</v>
      </c>
      <c r="C34" s="5" t="s">
        <v>12</v>
      </c>
      <c r="D34" s="6" t="s">
        <v>84</v>
      </c>
      <c r="E34" s="5" t="s">
        <v>83</v>
      </c>
      <c r="F34" s="5" t="s">
        <v>14</v>
      </c>
      <c r="G34" s="5" t="s">
        <v>101</v>
      </c>
      <c r="H34" s="5" t="s">
        <v>102</v>
      </c>
      <c r="I34" s="5" t="s">
        <v>17</v>
      </c>
      <c r="J34" s="5" t="str">
        <f>IFERROR(__xludf.DUMMYFUNCTION("TEXT(MATCH(H34,UNIQUE(FILTER($H$2:$H1066,$H$2:$H1066&lt;&gt;"""")),0),""000"")"),"030")</f>
        <v>030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82</v>
      </c>
      <c r="B35" s="5" t="s">
        <v>83</v>
      </c>
      <c r="C35" s="5" t="s">
        <v>12</v>
      </c>
      <c r="D35" s="6" t="s">
        <v>84</v>
      </c>
      <c r="E35" s="5" t="s">
        <v>83</v>
      </c>
      <c r="F35" s="5" t="s">
        <v>14</v>
      </c>
      <c r="G35" s="5" t="s">
        <v>103</v>
      </c>
      <c r="H35" s="5" t="s">
        <v>104</v>
      </c>
      <c r="I35" s="5" t="s">
        <v>17</v>
      </c>
      <c r="J35" s="5" t="str">
        <f>IFERROR(__xludf.DUMMYFUNCTION("TEXT(MATCH(H35,UNIQUE(FILTER($H$2:$H1066,$H$2:$H1066&lt;&gt;"""")),0),""000"")"),"031")</f>
        <v>031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82</v>
      </c>
      <c r="B36" s="5" t="s">
        <v>83</v>
      </c>
      <c r="C36" s="5" t="s">
        <v>12</v>
      </c>
      <c r="D36" s="6" t="s">
        <v>84</v>
      </c>
      <c r="E36" s="5" t="s">
        <v>83</v>
      </c>
      <c r="F36" s="5" t="s">
        <v>14</v>
      </c>
      <c r="G36" s="5" t="s">
        <v>105</v>
      </c>
      <c r="H36" s="5" t="s">
        <v>104</v>
      </c>
      <c r="I36" s="5" t="s">
        <v>17</v>
      </c>
      <c r="J36" s="5" t="str">
        <f>IFERROR(__xludf.DUMMYFUNCTION("TEXT(MATCH(H36,UNIQUE(FILTER($H$2:$H1066,$H$2:$H1066&lt;&gt;"""")),0),""000"")"),"031")</f>
        <v>031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82</v>
      </c>
      <c r="B37" s="5" t="s">
        <v>83</v>
      </c>
      <c r="C37" s="5" t="s">
        <v>12</v>
      </c>
      <c r="D37" s="6" t="s">
        <v>84</v>
      </c>
      <c r="E37" s="5" t="s">
        <v>83</v>
      </c>
      <c r="F37" s="5" t="s">
        <v>14</v>
      </c>
      <c r="G37" s="5" t="s">
        <v>106</v>
      </c>
      <c r="H37" s="5" t="s">
        <v>107</v>
      </c>
      <c r="I37" s="5" t="s">
        <v>17</v>
      </c>
      <c r="J37" s="5" t="str">
        <f>IFERROR(__xludf.DUMMYFUNCTION("TEXT(MATCH(H37,UNIQUE(FILTER($H$2:$H1066,$H$2:$H1066&lt;&gt;"""")),0),""000"")"),"032")</f>
        <v>032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82</v>
      </c>
      <c r="B38" s="5" t="s">
        <v>83</v>
      </c>
      <c r="C38" s="5" t="s">
        <v>12</v>
      </c>
      <c r="D38" s="5" t="s">
        <v>108</v>
      </c>
      <c r="E38" s="5" t="s">
        <v>83</v>
      </c>
      <c r="F38" s="5" t="s">
        <v>25</v>
      </c>
      <c r="G38" s="5" t="s">
        <v>109</v>
      </c>
      <c r="H38" s="5" t="s">
        <v>110</v>
      </c>
      <c r="I38" s="5" t="s">
        <v>17</v>
      </c>
      <c r="J38" s="5" t="str">
        <f>IFERROR(__xludf.DUMMYFUNCTION("TEXT(MATCH(H38,UNIQUE(FILTER($H$2:$H1066,$H$2:$H1066&lt;&gt;"""")),0),""000"")"),"033")</f>
        <v>033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82</v>
      </c>
      <c r="B39" s="5" t="s">
        <v>83</v>
      </c>
      <c r="C39" s="5" t="s">
        <v>12</v>
      </c>
      <c r="D39" s="5" t="s">
        <v>108</v>
      </c>
      <c r="E39" s="5" t="s">
        <v>83</v>
      </c>
      <c r="F39" s="5" t="s">
        <v>14</v>
      </c>
      <c r="G39" s="5" t="s">
        <v>111</v>
      </c>
      <c r="H39" s="5" t="s">
        <v>110</v>
      </c>
      <c r="I39" s="5" t="s">
        <v>112</v>
      </c>
      <c r="J39" s="5" t="str">
        <f>IFERROR(__xludf.DUMMYFUNCTION("TEXT(MATCH(H39,UNIQUE(FILTER($H$2:$H1066,$H$2:$H1066&lt;&gt;"""")),0),""000"")"),"033")</f>
        <v>033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82</v>
      </c>
      <c r="B40" s="5" t="s">
        <v>83</v>
      </c>
      <c r="C40" s="5" t="s">
        <v>113</v>
      </c>
      <c r="D40" s="6" t="s">
        <v>114</v>
      </c>
      <c r="E40" s="5" t="s">
        <v>115</v>
      </c>
      <c r="F40" s="5" t="s">
        <v>25</v>
      </c>
      <c r="G40" s="5" t="s">
        <v>116</v>
      </c>
      <c r="H40" s="5" t="s">
        <v>117</v>
      </c>
      <c r="I40" s="5" t="s">
        <v>17</v>
      </c>
      <c r="J40" s="5" t="str">
        <f>IFERROR(__xludf.DUMMYFUNCTION("TEXT(MATCH(H40,UNIQUE(FILTER($H$2:$H1066,$H$2:$H1066&lt;&gt;"""")),0),""000"")"),"034")</f>
        <v>034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82</v>
      </c>
      <c r="B41" s="5" t="s">
        <v>83</v>
      </c>
      <c r="C41" s="5" t="s">
        <v>113</v>
      </c>
      <c r="D41" s="6" t="s">
        <v>114</v>
      </c>
      <c r="E41" s="5" t="s">
        <v>115</v>
      </c>
      <c r="F41" s="5" t="s">
        <v>14</v>
      </c>
      <c r="G41" s="5" t="s">
        <v>118</v>
      </c>
      <c r="H41" s="5" t="s">
        <v>119</v>
      </c>
      <c r="I41" s="5" t="s">
        <v>17</v>
      </c>
      <c r="J41" s="5" t="str">
        <f>IFERROR(__xludf.DUMMYFUNCTION("TEXT(MATCH(H41,UNIQUE(FILTER($H$2:$H1066,$H$2:$H1066&lt;&gt;"""")),0),""000"")"),"035")</f>
        <v>035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82</v>
      </c>
      <c r="B42" s="5" t="s">
        <v>83</v>
      </c>
      <c r="C42" s="5" t="s">
        <v>113</v>
      </c>
      <c r="D42" s="6" t="s">
        <v>114</v>
      </c>
      <c r="E42" s="5" t="s">
        <v>115</v>
      </c>
      <c r="F42" s="5" t="s">
        <v>25</v>
      </c>
      <c r="G42" s="5" t="s">
        <v>120</v>
      </c>
      <c r="H42" s="5" t="s">
        <v>121</v>
      </c>
      <c r="I42" s="5" t="s">
        <v>17</v>
      </c>
      <c r="J42" s="5" t="str">
        <f>IFERROR(__xludf.DUMMYFUNCTION("TEXT(MATCH(H42,UNIQUE(FILTER($H$2:$H1066,$H$2:$H1066&lt;&gt;"""")),0),""000"")"),"036")</f>
        <v>036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122</v>
      </c>
      <c r="B43" s="5" t="s">
        <v>123</v>
      </c>
      <c r="C43" s="7" t="s">
        <v>124</v>
      </c>
      <c r="D43" s="6" t="s">
        <v>125</v>
      </c>
      <c r="E43" s="5" t="s">
        <v>126</v>
      </c>
      <c r="F43" s="5" t="s">
        <v>14</v>
      </c>
      <c r="G43" s="5" t="s">
        <v>127</v>
      </c>
      <c r="H43" s="5" t="s">
        <v>128</v>
      </c>
      <c r="I43" s="5" t="s">
        <v>17</v>
      </c>
      <c r="J43" s="5" t="str">
        <f>IFERROR(__xludf.DUMMYFUNCTION("TEXT(MATCH(H43,UNIQUE(FILTER($H$2:$H1066,$H$2:$H1066&lt;&gt;"""")),0),""000"")"),"037")</f>
        <v>037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122</v>
      </c>
      <c r="B44" s="5" t="s">
        <v>123</v>
      </c>
      <c r="C44" s="7" t="s">
        <v>124</v>
      </c>
      <c r="D44" s="6" t="s">
        <v>125</v>
      </c>
      <c r="E44" s="5" t="s">
        <v>126</v>
      </c>
      <c r="F44" s="5" t="s">
        <v>14</v>
      </c>
      <c r="G44" s="5" t="s">
        <v>129</v>
      </c>
      <c r="H44" s="5" t="s">
        <v>128</v>
      </c>
      <c r="I44" s="5" t="s">
        <v>17</v>
      </c>
      <c r="J44" s="5" t="str">
        <f>IFERROR(__xludf.DUMMYFUNCTION("TEXT(MATCH(H44,UNIQUE(FILTER($H$2:$H1066,$H$2:$H1066&lt;&gt;"""")),0),""000"")"),"037")</f>
        <v>037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122</v>
      </c>
      <c r="B45" s="5" t="s">
        <v>123</v>
      </c>
      <c r="C45" s="7" t="s">
        <v>124</v>
      </c>
      <c r="D45" s="6" t="s">
        <v>125</v>
      </c>
      <c r="E45" s="5" t="s">
        <v>126</v>
      </c>
      <c r="F45" s="5" t="s">
        <v>14</v>
      </c>
      <c r="G45" s="5" t="s">
        <v>130</v>
      </c>
      <c r="H45" s="5" t="s">
        <v>128</v>
      </c>
      <c r="I45" s="5" t="s">
        <v>17</v>
      </c>
      <c r="J45" s="5" t="str">
        <f>IFERROR(__xludf.DUMMYFUNCTION("TEXT(MATCH(H45,UNIQUE(FILTER($H$2:$H1066,$H$2:$H1066&lt;&gt;"""")),0),""000"")"),"037")</f>
        <v>037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122</v>
      </c>
      <c r="B46" s="5" t="s">
        <v>123</v>
      </c>
      <c r="C46" s="7" t="s">
        <v>131</v>
      </c>
      <c r="D46" s="6" t="s">
        <v>132</v>
      </c>
      <c r="E46" s="5" t="s">
        <v>133</v>
      </c>
      <c r="F46" s="5" t="s">
        <v>14</v>
      </c>
      <c r="G46" s="5" t="s">
        <v>134</v>
      </c>
      <c r="H46" s="5" t="s">
        <v>135</v>
      </c>
      <c r="I46" s="5" t="s">
        <v>17</v>
      </c>
      <c r="J46" s="5" t="str">
        <f>IFERROR(__xludf.DUMMYFUNCTION("TEXT(MATCH(H46,UNIQUE(FILTER($H$2:$H1066,$H$2:$H1066&lt;&gt;"""")),0),""000"")"),"038")</f>
        <v>038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136</v>
      </c>
      <c r="B47" s="5" t="s">
        <v>137</v>
      </c>
      <c r="C47" s="5" t="s">
        <v>12</v>
      </c>
      <c r="D47" s="6" t="s">
        <v>138</v>
      </c>
      <c r="E47" s="5" t="s">
        <v>137</v>
      </c>
      <c r="F47" s="5" t="s">
        <v>25</v>
      </c>
      <c r="G47" s="5" t="s">
        <v>139</v>
      </c>
      <c r="H47" s="5" t="s">
        <v>140</v>
      </c>
      <c r="I47" s="5" t="s">
        <v>17</v>
      </c>
      <c r="J47" s="5" t="str">
        <f>IFERROR(__xludf.DUMMYFUNCTION("TEXT(MATCH(H47,UNIQUE(FILTER($H$2:$H1066,$H$2:$H1066&lt;&gt;"""")),0),""000"")"),"039")</f>
        <v>039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136</v>
      </c>
      <c r="B48" s="5" t="s">
        <v>137</v>
      </c>
      <c r="C48" s="5" t="s">
        <v>12</v>
      </c>
      <c r="D48" s="6" t="s">
        <v>138</v>
      </c>
      <c r="E48" s="5" t="s">
        <v>137</v>
      </c>
      <c r="F48" s="5" t="s">
        <v>14</v>
      </c>
      <c r="G48" s="5" t="s">
        <v>141</v>
      </c>
      <c r="H48" s="5" t="s">
        <v>142</v>
      </c>
      <c r="I48" s="5" t="s">
        <v>17</v>
      </c>
      <c r="J48" s="5" t="str">
        <f>IFERROR(__xludf.DUMMYFUNCTION("TEXT(MATCH(H48,UNIQUE(FILTER($H$2:$H1066,$H$2:$H1066&lt;&gt;"""")),0),""000"")"),"040")</f>
        <v>040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136</v>
      </c>
      <c r="B49" s="5" t="s">
        <v>137</v>
      </c>
      <c r="C49" s="5" t="s">
        <v>12</v>
      </c>
      <c r="D49" s="6" t="s">
        <v>138</v>
      </c>
      <c r="E49" s="5" t="s">
        <v>137</v>
      </c>
      <c r="F49" s="5" t="s">
        <v>14</v>
      </c>
      <c r="G49" s="5" t="s">
        <v>143</v>
      </c>
      <c r="H49" s="5" t="s">
        <v>144</v>
      </c>
      <c r="I49" s="5" t="s">
        <v>17</v>
      </c>
      <c r="J49" s="5" t="str">
        <f>IFERROR(__xludf.DUMMYFUNCTION("TEXT(MATCH(H49,UNIQUE(FILTER($H$2:$H1066,$H$2:$H1066&lt;&gt;"""")),0),""000"")"),"041")</f>
        <v>041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136</v>
      </c>
      <c r="B50" s="5" t="s">
        <v>137</v>
      </c>
      <c r="C50" s="5" t="s">
        <v>12</v>
      </c>
      <c r="D50" s="6" t="s">
        <v>138</v>
      </c>
      <c r="E50" s="5" t="s">
        <v>137</v>
      </c>
      <c r="F50" s="5" t="s">
        <v>14</v>
      </c>
      <c r="G50" s="5" t="s">
        <v>145</v>
      </c>
      <c r="H50" s="5" t="s">
        <v>146</v>
      </c>
      <c r="I50" s="5" t="s">
        <v>17</v>
      </c>
      <c r="J50" s="5" t="str">
        <f>IFERROR(__xludf.DUMMYFUNCTION("TEXT(MATCH(H50,UNIQUE(FILTER($H$2:$H1066,$H$2:$H1066&lt;&gt;"""")),0),""000"")"),"042")</f>
        <v>042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136</v>
      </c>
      <c r="B51" s="5" t="s">
        <v>137</v>
      </c>
      <c r="C51" s="5" t="s">
        <v>12</v>
      </c>
      <c r="D51" s="6" t="s">
        <v>138</v>
      </c>
      <c r="E51" s="5" t="s">
        <v>137</v>
      </c>
      <c r="F51" s="5" t="s">
        <v>14</v>
      </c>
      <c r="G51" s="5" t="s">
        <v>147</v>
      </c>
      <c r="H51" s="5" t="s">
        <v>148</v>
      </c>
      <c r="I51" s="5" t="s">
        <v>17</v>
      </c>
      <c r="J51" s="5" t="str">
        <f>IFERROR(__xludf.DUMMYFUNCTION("TEXT(MATCH(H51,UNIQUE(FILTER($H$2:$H1066,$H$2:$H1066&lt;&gt;"""")),0),""000"")"),"043")</f>
        <v>043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136</v>
      </c>
      <c r="B52" s="5" t="s">
        <v>137</v>
      </c>
      <c r="C52" s="5" t="s">
        <v>12</v>
      </c>
      <c r="D52" s="6" t="s">
        <v>138</v>
      </c>
      <c r="E52" s="5" t="s">
        <v>137</v>
      </c>
      <c r="F52" s="5" t="s">
        <v>14</v>
      </c>
      <c r="G52" s="5" t="s">
        <v>149</v>
      </c>
      <c r="H52" s="5" t="s">
        <v>150</v>
      </c>
      <c r="I52" s="5" t="s">
        <v>17</v>
      </c>
      <c r="J52" s="5" t="str">
        <f>IFERROR(__xludf.DUMMYFUNCTION("TEXT(MATCH(H52,UNIQUE(FILTER($H$2:$H1066,$H$2:$H1066&lt;&gt;"""")),0),""000"")"),"044")</f>
        <v>044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136</v>
      </c>
      <c r="B53" s="5" t="s">
        <v>137</v>
      </c>
      <c r="C53" s="5" t="s">
        <v>12</v>
      </c>
      <c r="D53" s="6" t="s">
        <v>138</v>
      </c>
      <c r="E53" s="5" t="s">
        <v>137</v>
      </c>
      <c r="F53" s="5" t="s">
        <v>14</v>
      </c>
      <c r="G53" s="5" t="s">
        <v>151</v>
      </c>
      <c r="H53" s="5" t="s">
        <v>152</v>
      </c>
      <c r="I53" s="5" t="s">
        <v>17</v>
      </c>
      <c r="J53" s="5" t="str">
        <f>IFERROR(__xludf.DUMMYFUNCTION("TEXT(MATCH(H53,UNIQUE(FILTER($H$2:$H1066,$H$2:$H1066&lt;&gt;"""")),0),""000"")"),"045")</f>
        <v>045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136</v>
      </c>
      <c r="B54" s="5" t="s">
        <v>137</v>
      </c>
      <c r="C54" s="5" t="s">
        <v>12</v>
      </c>
      <c r="D54" s="6" t="s">
        <v>138</v>
      </c>
      <c r="E54" s="5" t="s">
        <v>137</v>
      </c>
      <c r="F54" s="5" t="s">
        <v>14</v>
      </c>
      <c r="G54" s="5" t="s">
        <v>153</v>
      </c>
      <c r="H54" s="5" t="s">
        <v>154</v>
      </c>
      <c r="I54" s="5" t="s">
        <v>17</v>
      </c>
      <c r="J54" s="5" t="str">
        <f>IFERROR(__xludf.DUMMYFUNCTION("TEXT(MATCH(H54,UNIQUE(FILTER($H$2:$H1066,$H$2:$H1066&lt;&gt;"""")),0),""000"")"),"046")</f>
        <v>046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136</v>
      </c>
      <c r="B55" s="5" t="s">
        <v>137</v>
      </c>
      <c r="C55" s="5" t="s">
        <v>12</v>
      </c>
      <c r="D55" s="6" t="s">
        <v>138</v>
      </c>
      <c r="E55" s="5" t="s">
        <v>137</v>
      </c>
      <c r="F55" s="5" t="s">
        <v>14</v>
      </c>
      <c r="G55" s="5" t="s">
        <v>155</v>
      </c>
      <c r="H55" s="5" t="s">
        <v>156</v>
      </c>
      <c r="I55" s="5" t="s">
        <v>17</v>
      </c>
      <c r="J55" s="5" t="str">
        <f>IFERROR(__xludf.DUMMYFUNCTION("TEXT(MATCH(H55,UNIQUE(FILTER($H$2:$H1066,$H$2:$H1066&lt;&gt;"""")),0),""000"")"),"047")</f>
        <v>047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136</v>
      </c>
      <c r="B56" s="5" t="s">
        <v>137</v>
      </c>
      <c r="C56" s="5" t="s">
        <v>12</v>
      </c>
      <c r="D56" s="6" t="s">
        <v>138</v>
      </c>
      <c r="E56" s="5" t="s">
        <v>137</v>
      </c>
      <c r="F56" s="5" t="s">
        <v>14</v>
      </c>
      <c r="G56" s="5" t="s">
        <v>157</v>
      </c>
      <c r="H56" s="5" t="s">
        <v>158</v>
      </c>
      <c r="I56" s="5" t="s">
        <v>17</v>
      </c>
      <c r="J56" s="5" t="str">
        <f>IFERROR(__xludf.DUMMYFUNCTION("TEXT(MATCH(H56,UNIQUE(FILTER($H$2:$H1066,$H$2:$H1066&lt;&gt;"""")),0),""000"")"),"048")</f>
        <v>048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136</v>
      </c>
      <c r="B57" s="5" t="s">
        <v>137</v>
      </c>
      <c r="C57" s="5" t="s">
        <v>12</v>
      </c>
      <c r="D57" s="6" t="s">
        <v>138</v>
      </c>
      <c r="E57" s="5" t="s">
        <v>137</v>
      </c>
      <c r="F57" s="5" t="s">
        <v>14</v>
      </c>
      <c r="G57" s="5" t="s">
        <v>159</v>
      </c>
      <c r="H57" s="5" t="s">
        <v>160</v>
      </c>
      <c r="I57" s="5" t="s">
        <v>17</v>
      </c>
      <c r="J57" s="5" t="str">
        <f>IFERROR(__xludf.DUMMYFUNCTION("TEXT(MATCH(H57,UNIQUE(FILTER($H$2:$H1066,$H$2:$H1066&lt;&gt;"""")),0),""000"")"),"049")</f>
        <v>049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136</v>
      </c>
      <c r="B58" s="5" t="s">
        <v>137</v>
      </c>
      <c r="C58" s="5" t="s">
        <v>12</v>
      </c>
      <c r="D58" s="6" t="s">
        <v>138</v>
      </c>
      <c r="E58" s="5" t="s">
        <v>137</v>
      </c>
      <c r="F58" s="5" t="s">
        <v>25</v>
      </c>
      <c r="G58" s="5" t="s">
        <v>161</v>
      </c>
      <c r="H58" s="5" t="s">
        <v>162</v>
      </c>
      <c r="I58" s="5" t="s">
        <v>17</v>
      </c>
      <c r="J58" s="5" t="str">
        <f>IFERROR(__xludf.DUMMYFUNCTION("TEXT(MATCH(H58,UNIQUE(FILTER($H$2:$H1066,$H$2:$H1066&lt;&gt;"""")),0),""000"")"),"050")</f>
        <v>050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136</v>
      </c>
      <c r="B59" s="5" t="s">
        <v>137</v>
      </c>
      <c r="C59" s="5" t="s">
        <v>12</v>
      </c>
      <c r="D59" s="6" t="s">
        <v>138</v>
      </c>
      <c r="E59" s="5" t="s">
        <v>137</v>
      </c>
      <c r="F59" s="5" t="s">
        <v>14</v>
      </c>
      <c r="G59" s="5" t="s">
        <v>163</v>
      </c>
      <c r="H59" s="5" t="s">
        <v>164</v>
      </c>
      <c r="I59" s="5" t="s">
        <v>17</v>
      </c>
      <c r="J59" s="5" t="str">
        <f>IFERROR(__xludf.DUMMYFUNCTION("TEXT(MATCH(H59,UNIQUE(FILTER($H$2:$H1066,$H$2:$H1066&lt;&gt;"""")),0),""000"")"),"051")</f>
        <v>051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136</v>
      </c>
      <c r="B60" s="5" t="s">
        <v>137</v>
      </c>
      <c r="C60" s="5" t="s">
        <v>12</v>
      </c>
      <c r="D60" s="6" t="s">
        <v>138</v>
      </c>
      <c r="E60" s="5" t="s">
        <v>137</v>
      </c>
      <c r="F60" s="5" t="s">
        <v>14</v>
      </c>
      <c r="G60" s="5" t="s">
        <v>165</v>
      </c>
      <c r="H60" s="5" t="s">
        <v>166</v>
      </c>
      <c r="I60" s="5" t="s">
        <v>17</v>
      </c>
      <c r="J60" s="5" t="str">
        <f>IFERROR(__xludf.DUMMYFUNCTION("TEXT(MATCH(H60,UNIQUE(FILTER($H$2:$H1066,$H$2:$H1066&lt;&gt;"""")),0),""000"")"),"052")</f>
        <v>052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136</v>
      </c>
      <c r="B61" s="5" t="s">
        <v>137</v>
      </c>
      <c r="C61" s="5" t="s">
        <v>12</v>
      </c>
      <c r="D61" s="6" t="s">
        <v>138</v>
      </c>
      <c r="E61" s="5" t="s">
        <v>137</v>
      </c>
      <c r="F61" s="5" t="s">
        <v>14</v>
      </c>
      <c r="G61" s="5" t="s">
        <v>167</v>
      </c>
      <c r="H61" s="5" t="s">
        <v>168</v>
      </c>
      <c r="I61" s="5" t="s">
        <v>17</v>
      </c>
      <c r="J61" s="5" t="str">
        <f>IFERROR(__xludf.DUMMYFUNCTION("TEXT(MATCH(H61,UNIQUE(FILTER($H$2:$H1066,$H$2:$H1066&lt;&gt;"""")),0),""000"")"),"053")</f>
        <v>053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136</v>
      </c>
      <c r="B62" s="5" t="s">
        <v>137</v>
      </c>
      <c r="C62" s="5" t="s">
        <v>12</v>
      </c>
      <c r="D62" s="6" t="s">
        <v>138</v>
      </c>
      <c r="E62" s="5" t="s">
        <v>137</v>
      </c>
      <c r="F62" s="5" t="s">
        <v>14</v>
      </c>
      <c r="G62" s="5" t="s">
        <v>169</v>
      </c>
      <c r="H62" s="5" t="s">
        <v>170</v>
      </c>
      <c r="I62" s="5" t="s">
        <v>17</v>
      </c>
      <c r="J62" s="5" t="str">
        <f>IFERROR(__xludf.DUMMYFUNCTION("TEXT(MATCH(H62,UNIQUE(FILTER($H$2:$H1066,$H$2:$H1066&lt;&gt;"""")),0),""000"")"),"054")</f>
        <v>054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136</v>
      </c>
      <c r="B63" s="5" t="s">
        <v>137</v>
      </c>
      <c r="C63" s="5" t="s">
        <v>12</v>
      </c>
      <c r="D63" s="6" t="s">
        <v>138</v>
      </c>
      <c r="E63" s="5" t="s">
        <v>137</v>
      </c>
      <c r="F63" s="5" t="s">
        <v>25</v>
      </c>
      <c r="G63" s="5" t="s">
        <v>171</v>
      </c>
      <c r="H63" s="5" t="s">
        <v>172</v>
      </c>
      <c r="I63" s="5" t="s">
        <v>17</v>
      </c>
      <c r="J63" s="5" t="str">
        <f>IFERROR(__xludf.DUMMYFUNCTION("TEXT(MATCH(H63,UNIQUE(FILTER($H$2:$H1066,$H$2:$H1066&lt;&gt;"""")),0),""000"")"),"055")</f>
        <v>055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136</v>
      </c>
      <c r="B64" s="5" t="s">
        <v>137</v>
      </c>
      <c r="C64" s="5" t="s">
        <v>12</v>
      </c>
      <c r="D64" s="6" t="s">
        <v>138</v>
      </c>
      <c r="E64" s="5" t="s">
        <v>137</v>
      </c>
      <c r="F64" s="5" t="s">
        <v>14</v>
      </c>
      <c r="G64" s="5" t="s">
        <v>173</v>
      </c>
      <c r="H64" s="5" t="s">
        <v>174</v>
      </c>
      <c r="I64" s="5" t="s">
        <v>17</v>
      </c>
      <c r="J64" s="5" t="str">
        <f>IFERROR(__xludf.DUMMYFUNCTION("TEXT(MATCH(H64,UNIQUE(FILTER($H$2:$H1066,$H$2:$H1066&lt;&gt;"""")),0),""000"")"),"056")</f>
        <v>056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136</v>
      </c>
      <c r="B65" s="5" t="s">
        <v>137</v>
      </c>
      <c r="C65" s="5" t="s">
        <v>12</v>
      </c>
      <c r="D65" s="6" t="s">
        <v>138</v>
      </c>
      <c r="E65" s="5" t="s">
        <v>137</v>
      </c>
      <c r="F65" s="5" t="s">
        <v>25</v>
      </c>
      <c r="G65" s="5" t="s">
        <v>175</v>
      </c>
      <c r="H65" s="5" t="s">
        <v>176</v>
      </c>
      <c r="I65" s="5" t="s">
        <v>17</v>
      </c>
      <c r="J65" s="5" t="str">
        <f>IFERROR(__xludf.DUMMYFUNCTION("TEXT(MATCH(H65,UNIQUE(FILTER($H$2:$H1066,$H$2:$H1066&lt;&gt;"""")),0),""000"")"),"057")</f>
        <v>057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136</v>
      </c>
      <c r="B66" s="5" t="s">
        <v>137</v>
      </c>
      <c r="C66" s="5" t="s">
        <v>12</v>
      </c>
      <c r="D66" s="6" t="s">
        <v>138</v>
      </c>
      <c r="E66" s="5" t="s">
        <v>137</v>
      </c>
      <c r="F66" s="5" t="s">
        <v>25</v>
      </c>
      <c r="G66" s="5" t="s">
        <v>177</v>
      </c>
      <c r="H66" s="5" t="s">
        <v>178</v>
      </c>
      <c r="I66" s="5" t="s">
        <v>17</v>
      </c>
      <c r="J66" s="5" t="str">
        <f>IFERROR(__xludf.DUMMYFUNCTION("TEXT(MATCH(H66,UNIQUE(FILTER($H$2:$H1066,$H$2:$H1066&lt;&gt;"""")),0),""000"")"),"058")</f>
        <v>058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136</v>
      </c>
      <c r="B67" s="5" t="s">
        <v>137</v>
      </c>
      <c r="C67" s="5" t="s">
        <v>12</v>
      </c>
      <c r="D67" s="6" t="s">
        <v>138</v>
      </c>
      <c r="E67" s="5" t="s">
        <v>137</v>
      </c>
      <c r="F67" s="5" t="s">
        <v>14</v>
      </c>
      <c r="G67" s="5" t="s">
        <v>179</v>
      </c>
      <c r="H67" s="5" t="s">
        <v>180</v>
      </c>
      <c r="I67" s="5" t="s">
        <v>17</v>
      </c>
      <c r="J67" s="5" t="str">
        <f>IFERROR(__xludf.DUMMYFUNCTION("TEXT(MATCH(H67,UNIQUE(FILTER($H$2:$H1066,$H$2:$H1066&lt;&gt;"""")),0),""000"")"),"059")</f>
        <v>059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181</v>
      </c>
      <c r="B68" s="5" t="s">
        <v>182</v>
      </c>
      <c r="C68" s="5" t="s">
        <v>12</v>
      </c>
      <c r="D68" s="6" t="s">
        <v>183</v>
      </c>
      <c r="E68" s="5" t="s">
        <v>182</v>
      </c>
      <c r="F68" s="5" t="s">
        <v>25</v>
      </c>
      <c r="G68" s="5" t="s">
        <v>184</v>
      </c>
      <c r="H68" s="5" t="s">
        <v>185</v>
      </c>
      <c r="I68" s="5" t="s">
        <v>17</v>
      </c>
      <c r="J68" s="5" t="str">
        <f>IFERROR(__xludf.DUMMYFUNCTION("TEXT(MATCH(H68,UNIQUE(FILTER($H$2:$H1066,$H$2:$H1066&lt;&gt;"""")),0),""000"")"),"060")</f>
        <v>060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181</v>
      </c>
      <c r="B69" s="5" t="s">
        <v>182</v>
      </c>
      <c r="C69" s="5" t="s">
        <v>12</v>
      </c>
      <c r="D69" s="6" t="s">
        <v>183</v>
      </c>
      <c r="E69" s="5" t="s">
        <v>182</v>
      </c>
      <c r="F69" s="5" t="s">
        <v>25</v>
      </c>
      <c r="G69" s="5" t="s">
        <v>186</v>
      </c>
      <c r="H69" s="5" t="s">
        <v>187</v>
      </c>
      <c r="I69" s="5" t="s">
        <v>17</v>
      </c>
      <c r="J69" s="5" t="str">
        <f>IFERROR(__xludf.DUMMYFUNCTION("TEXT(MATCH(H69,UNIQUE(FILTER($H$2:$H1066,$H$2:$H1066&lt;&gt;"""")),0),""000"")"),"061")</f>
        <v>061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181</v>
      </c>
      <c r="B70" s="5" t="s">
        <v>182</v>
      </c>
      <c r="C70" s="5" t="s">
        <v>12</v>
      </c>
      <c r="D70" s="6" t="s">
        <v>183</v>
      </c>
      <c r="E70" s="5" t="s">
        <v>182</v>
      </c>
      <c r="F70" s="5" t="s">
        <v>25</v>
      </c>
      <c r="G70" s="5" t="s">
        <v>188</v>
      </c>
      <c r="H70" s="5" t="s">
        <v>189</v>
      </c>
      <c r="I70" s="5" t="s">
        <v>17</v>
      </c>
      <c r="J70" s="5" t="str">
        <f>IFERROR(__xludf.DUMMYFUNCTION("TEXT(MATCH(H70,UNIQUE(FILTER($H$2:$H1066,$H$2:$H1066&lt;&gt;"""")),0),""000"")"),"062")</f>
        <v>062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181</v>
      </c>
      <c r="B71" s="5" t="s">
        <v>182</v>
      </c>
      <c r="C71" s="5" t="s">
        <v>12</v>
      </c>
      <c r="D71" s="6" t="s">
        <v>183</v>
      </c>
      <c r="E71" s="5" t="s">
        <v>182</v>
      </c>
      <c r="F71" s="5" t="s">
        <v>25</v>
      </c>
      <c r="G71" s="5" t="s">
        <v>190</v>
      </c>
      <c r="H71" s="5" t="s">
        <v>191</v>
      </c>
      <c r="I71" s="5" t="s">
        <v>17</v>
      </c>
      <c r="J71" s="5" t="str">
        <f>IFERROR(__xludf.DUMMYFUNCTION("TEXT(MATCH(H71,UNIQUE(FILTER($H$2:$H1066,$H$2:$H1066&lt;&gt;"""")),0),""000"")"),"063")</f>
        <v>063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181</v>
      </c>
      <c r="B72" s="5" t="s">
        <v>182</v>
      </c>
      <c r="C72" s="5" t="s">
        <v>192</v>
      </c>
      <c r="D72" s="6" t="s">
        <v>193</v>
      </c>
      <c r="E72" s="5" t="s">
        <v>194</v>
      </c>
      <c r="F72" s="5" t="s">
        <v>25</v>
      </c>
      <c r="G72" s="5" t="s">
        <v>195</v>
      </c>
      <c r="H72" s="5" t="s">
        <v>196</v>
      </c>
      <c r="I72" s="5" t="s">
        <v>17</v>
      </c>
      <c r="J72" s="5" t="str">
        <f>IFERROR(__xludf.DUMMYFUNCTION("TEXT(MATCH(H72,UNIQUE(FILTER($H$2:$H1066,$H$2:$H1066&lt;&gt;"""")),0),""000"")"),"064")</f>
        <v>064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181</v>
      </c>
      <c r="B73" s="5" t="s">
        <v>182</v>
      </c>
      <c r="C73" s="5" t="s">
        <v>192</v>
      </c>
      <c r="D73" s="6" t="s">
        <v>193</v>
      </c>
      <c r="E73" s="5" t="s">
        <v>194</v>
      </c>
      <c r="F73" s="5" t="s">
        <v>25</v>
      </c>
      <c r="G73" s="5" t="s">
        <v>197</v>
      </c>
      <c r="H73" s="5" t="s">
        <v>196</v>
      </c>
      <c r="I73" s="5" t="s">
        <v>17</v>
      </c>
      <c r="J73" s="5" t="str">
        <f>IFERROR(__xludf.DUMMYFUNCTION("TEXT(MATCH(H73,UNIQUE(FILTER($H$2:$H1066,$H$2:$H1066&lt;&gt;"""")),0),""000"")"),"064")</f>
        <v>064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181</v>
      </c>
      <c r="B74" s="5" t="s">
        <v>182</v>
      </c>
      <c r="C74" s="5" t="s">
        <v>192</v>
      </c>
      <c r="D74" s="6" t="s">
        <v>193</v>
      </c>
      <c r="E74" s="5" t="s">
        <v>194</v>
      </c>
      <c r="F74" s="5" t="s">
        <v>25</v>
      </c>
      <c r="G74" s="5" t="s">
        <v>198</v>
      </c>
      <c r="H74" s="5" t="s">
        <v>196</v>
      </c>
      <c r="I74" s="5" t="s">
        <v>17</v>
      </c>
      <c r="J74" s="5" t="str">
        <f>IFERROR(__xludf.DUMMYFUNCTION("TEXT(MATCH(H74,UNIQUE(FILTER($H$2:$H1066,$H$2:$H1066&lt;&gt;"""")),0),""000"")"),"064")</f>
        <v>064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181</v>
      </c>
      <c r="B75" s="5" t="s">
        <v>182</v>
      </c>
      <c r="C75" s="5" t="s">
        <v>192</v>
      </c>
      <c r="D75" s="6" t="s">
        <v>193</v>
      </c>
      <c r="E75" s="5" t="s">
        <v>194</v>
      </c>
      <c r="F75" s="5" t="s">
        <v>25</v>
      </c>
      <c r="G75" s="5" t="s">
        <v>199</v>
      </c>
      <c r="H75" s="5" t="s">
        <v>196</v>
      </c>
      <c r="I75" s="5" t="s">
        <v>17</v>
      </c>
      <c r="J75" s="5" t="str">
        <f>IFERROR(__xludf.DUMMYFUNCTION("TEXT(MATCH(H75,UNIQUE(FILTER($H$2:$H1066,$H$2:$H1066&lt;&gt;"""")),0),""000"")"),"064")</f>
        <v>064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181</v>
      </c>
      <c r="B76" s="5" t="s">
        <v>182</v>
      </c>
      <c r="C76" s="5" t="s">
        <v>192</v>
      </c>
      <c r="D76" s="6" t="s">
        <v>193</v>
      </c>
      <c r="E76" s="5" t="s">
        <v>194</v>
      </c>
      <c r="F76" s="5" t="s">
        <v>25</v>
      </c>
      <c r="G76" s="5" t="s">
        <v>200</v>
      </c>
      <c r="H76" s="5" t="s">
        <v>196</v>
      </c>
      <c r="I76" s="5" t="s">
        <v>17</v>
      </c>
      <c r="J76" s="5" t="str">
        <f>IFERROR(__xludf.DUMMYFUNCTION("TEXT(MATCH(H76,UNIQUE(FILTER($H$2:$H1066,$H$2:$H1066&lt;&gt;"""")),0),""000"")"),"064")</f>
        <v>064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181</v>
      </c>
      <c r="B77" s="5" t="s">
        <v>182</v>
      </c>
      <c r="C77" s="5" t="s">
        <v>201</v>
      </c>
      <c r="D77" s="6" t="s">
        <v>202</v>
      </c>
      <c r="E77" s="5" t="s">
        <v>203</v>
      </c>
      <c r="F77" s="5" t="s">
        <v>14</v>
      </c>
      <c r="G77" s="5" t="s">
        <v>204</v>
      </c>
      <c r="H77" s="5" t="s">
        <v>205</v>
      </c>
      <c r="I77" s="5" t="s">
        <v>17</v>
      </c>
      <c r="J77" s="5" t="str">
        <f>IFERROR(__xludf.DUMMYFUNCTION("TEXT(MATCH(H77,UNIQUE(FILTER($H$2:$H1066,$H$2:$H1066&lt;&gt;"""")),0),""000"")"),"065")</f>
        <v>065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181</v>
      </c>
      <c r="B78" s="5" t="s">
        <v>182</v>
      </c>
      <c r="C78" s="5" t="s">
        <v>201</v>
      </c>
      <c r="D78" s="6" t="s">
        <v>202</v>
      </c>
      <c r="E78" s="5" t="s">
        <v>203</v>
      </c>
      <c r="F78" s="5" t="s">
        <v>25</v>
      </c>
      <c r="G78" s="5" t="s">
        <v>206</v>
      </c>
      <c r="H78" s="5" t="s">
        <v>207</v>
      </c>
      <c r="I78" s="5" t="s">
        <v>17</v>
      </c>
      <c r="J78" s="5" t="str">
        <f>IFERROR(__xludf.DUMMYFUNCTION("TEXT(MATCH(H78,UNIQUE(FILTER($H$2:$H1066,$H$2:$H1066&lt;&gt;"""")),0),""000"")"),"066")</f>
        <v>066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208</v>
      </c>
      <c r="B79" s="5" t="s">
        <v>209</v>
      </c>
      <c r="C79" s="5" t="s">
        <v>12</v>
      </c>
      <c r="D79" s="6" t="s">
        <v>210</v>
      </c>
      <c r="E79" s="5" t="s">
        <v>211</v>
      </c>
      <c r="F79" s="5" t="s">
        <v>25</v>
      </c>
      <c r="G79" s="5" t="s">
        <v>212</v>
      </c>
      <c r="H79" s="5" t="s">
        <v>213</v>
      </c>
      <c r="I79" s="5" t="s">
        <v>17</v>
      </c>
      <c r="J79" s="5" t="str">
        <f>IFERROR(__xludf.DUMMYFUNCTION("TEXT(MATCH(H79,UNIQUE(FILTER($H$2:$H1066,$H$2:$H1066&lt;&gt;"""")),0),""000"")"),"067")</f>
        <v>067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208</v>
      </c>
      <c r="B80" s="5" t="s">
        <v>209</v>
      </c>
      <c r="C80" s="5" t="s">
        <v>12</v>
      </c>
      <c r="D80" s="6" t="s">
        <v>210</v>
      </c>
      <c r="E80" s="5" t="s">
        <v>211</v>
      </c>
      <c r="F80" s="5" t="s">
        <v>25</v>
      </c>
      <c r="G80" s="5" t="s">
        <v>214</v>
      </c>
      <c r="H80" s="5" t="s">
        <v>215</v>
      </c>
      <c r="I80" s="5" t="s">
        <v>17</v>
      </c>
      <c r="J80" s="5" t="str">
        <f>IFERROR(__xludf.DUMMYFUNCTION("TEXT(MATCH(H80,UNIQUE(FILTER($H$2:$H1066,$H$2:$H1066&lt;&gt;"""")),0),""000"")"),"068")</f>
        <v>068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208</v>
      </c>
      <c r="B81" s="5" t="s">
        <v>209</v>
      </c>
      <c r="C81" s="5" t="s">
        <v>12</v>
      </c>
      <c r="D81" s="6" t="s">
        <v>210</v>
      </c>
      <c r="E81" s="5" t="s">
        <v>211</v>
      </c>
      <c r="F81" s="5" t="s">
        <v>14</v>
      </c>
      <c r="G81" s="5" t="s">
        <v>216</v>
      </c>
      <c r="H81" s="5" t="s">
        <v>217</v>
      </c>
      <c r="I81" s="5" t="s">
        <v>218</v>
      </c>
      <c r="J81" s="5" t="str">
        <f>IFERROR(__xludf.DUMMYFUNCTION("TEXT(MATCH(H81,UNIQUE(FILTER($H$2:$H1066,$H$2:$H1066&lt;&gt;"""")),0),""000"")"),"069")</f>
        <v>069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208</v>
      </c>
      <c r="B82" s="5" t="s">
        <v>209</v>
      </c>
      <c r="C82" s="5" t="s">
        <v>12</v>
      </c>
      <c r="D82" s="6" t="s">
        <v>210</v>
      </c>
      <c r="E82" s="5" t="s">
        <v>211</v>
      </c>
      <c r="F82" s="5" t="s">
        <v>14</v>
      </c>
      <c r="G82" s="5" t="s">
        <v>219</v>
      </c>
      <c r="H82" s="5" t="s">
        <v>220</v>
      </c>
      <c r="I82" s="5" t="s">
        <v>218</v>
      </c>
      <c r="J82" s="5" t="str">
        <f>IFERROR(__xludf.DUMMYFUNCTION("TEXT(MATCH(H82,UNIQUE(FILTER($H$2:$H1066,$H$2:$H1066&lt;&gt;"""")),0),""000"")"),"070")</f>
        <v>070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208</v>
      </c>
      <c r="B83" s="5" t="s">
        <v>209</v>
      </c>
      <c r="C83" s="5" t="s">
        <v>12</v>
      </c>
      <c r="D83" s="6" t="s">
        <v>210</v>
      </c>
      <c r="E83" s="5" t="s">
        <v>211</v>
      </c>
      <c r="F83" s="5" t="s">
        <v>14</v>
      </c>
      <c r="G83" s="5" t="s">
        <v>221</v>
      </c>
      <c r="H83" s="5" t="s">
        <v>222</v>
      </c>
      <c r="I83" s="5" t="s">
        <v>17</v>
      </c>
      <c r="J83" s="5" t="str">
        <f>IFERROR(__xludf.DUMMYFUNCTION("TEXT(MATCH(H83,UNIQUE(FILTER($H$2:$H1066,$H$2:$H1066&lt;&gt;"""")),0),""000"")"),"071")</f>
        <v>071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208</v>
      </c>
      <c r="B84" s="5" t="s">
        <v>209</v>
      </c>
      <c r="C84" s="5" t="s">
        <v>12</v>
      </c>
      <c r="D84" s="6" t="s">
        <v>210</v>
      </c>
      <c r="E84" s="5" t="s">
        <v>211</v>
      </c>
      <c r="F84" s="5" t="s">
        <v>14</v>
      </c>
      <c r="G84" s="5" t="s">
        <v>223</v>
      </c>
      <c r="H84" s="5" t="s">
        <v>224</v>
      </c>
      <c r="I84" s="5" t="s">
        <v>17</v>
      </c>
      <c r="J84" s="5" t="str">
        <f>IFERROR(__xludf.DUMMYFUNCTION("TEXT(MATCH(H84,UNIQUE(FILTER($H$2:$H1066,$H$2:$H1066&lt;&gt;"""")),0),""000"")"),"072")</f>
        <v>072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208</v>
      </c>
      <c r="B85" s="5" t="s">
        <v>209</v>
      </c>
      <c r="C85" s="5" t="s">
        <v>12</v>
      </c>
      <c r="D85" s="6" t="s">
        <v>210</v>
      </c>
      <c r="E85" s="5" t="s">
        <v>211</v>
      </c>
      <c r="F85" s="5" t="s">
        <v>14</v>
      </c>
      <c r="G85" s="5" t="s">
        <v>225</v>
      </c>
      <c r="H85" s="5" t="s">
        <v>226</v>
      </c>
      <c r="I85" s="5" t="s">
        <v>17</v>
      </c>
      <c r="J85" s="5" t="str">
        <f>IFERROR(__xludf.DUMMYFUNCTION("TEXT(MATCH(H85,UNIQUE(FILTER($H$2:$H1066,$H$2:$H1066&lt;&gt;"""")),0),""000"")"),"073")</f>
        <v>073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208</v>
      </c>
      <c r="B86" s="5" t="s">
        <v>209</v>
      </c>
      <c r="C86" s="5" t="s">
        <v>12</v>
      </c>
      <c r="D86" s="6" t="s">
        <v>210</v>
      </c>
      <c r="E86" s="5" t="s">
        <v>211</v>
      </c>
      <c r="F86" s="5" t="s">
        <v>14</v>
      </c>
      <c r="G86" s="5" t="s">
        <v>227</v>
      </c>
      <c r="H86" s="5" t="s">
        <v>228</v>
      </c>
      <c r="I86" s="5" t="s">
        <v>17</v>
      </c>
      <c r="J86" s="5" t="str">
        <f>IFERROR(__xludf.DUMMYFUNCTION("TEXT(MATCH(H86,UNIQUE(FILTER($H$2:$H1066,$H$2:$H1066&lt;&gt;"""")),0),""000"")"),"074")</f>
        <v>074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208</v>
      </c>
      <c r="B87" s="5" t="s">
        <v>209</v>
      </c>
      <c r="C87" s="5" t="s">
        <v>229</v>
      </c>
      <c r="D87" s="6" t="s">
        <v>230</v>
      </c>
      <c r="E87" s="5" t="s">
        <v>231</v>
      </c>
      <c r="F87" s="5" t="s">
        <v>25</v>
      </c>
      <c r="G87" s="5" t="s">
        <v>232</v>
      </c>
      <c r="H87" s="5" t="s">
        <v>233</v>
      </c>
      <c r="I87" s="5" t="s">
        <v>17</v>
      </c>
      <c r="J87" s="5" t="str">
        <f>IFERROR(__xludf.DUMMYFUNCTION("TEXT(MATCH(H87,UNIQUE(FILTER($H$2:$H1066,$H$2:$H1066&lt;&gt;"""")),0),""000"")"),"075")</f>
        <v>075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208</v>
      </c>
      <c r="B88" s="5" t="s">
        <v>209</v>
      </c>
      <c r="C88" s="5" t="s">
        <v>229</v>
      </c>
      <c r="D88" s="6" t="s">
        <v>230</v>
      </c>
      <c r="E88" s="5" t="s">
        <v>231</v>
      </c>
      <c r="F88" s="5" t="s">
        <v>25</v>
      </c>
      <c r="G88" s="5" t="s">
        <v>234</v>
      </c>
      <c r="H88" s="5" t="s">
        <v>233</v>
      </c>
      <c r="I88" s="5" t="s">
        <v>17</v>
      </c>
      <c r="J88" s="5" t="str">
        <f>IFERROR(__xludf.DUMMYFUNCTION("TEXT(MATCH(H88,UNIQUE(FILTER($H$2:$H1066,$H$2:$H1066&lt;&gt;"""")),0),""000"")"),"075")</f>
        <v>075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235</v>
      </c>
      <c r="B89" s="5" t="s">
        <v>236</v>
      </c>
      <c r="C89" s="7" t="s">
        <v>12</v>
      </c>
      <c r="D89" s="6" t="s">
        <v>237</v>
      </c>
      <c r="E89" s="5" t="s">
        <v>236</v>
      </c>
      <c r="F89" s="5" t="s">
        <v>25</v>
      </c>
      <c r="G89" s="5" t="s">
        <v>238</v>
      </c>
      <c r="H89" s="5" t="s">
        <v>239</v>
      </c>
      <c r="I89" s="5" t="s">
        <v>17</v>
      </c>
      <c r="J89" s="5" t="str">
        <f>IFERROR(__xludf.DUMMYFUNCTION("TEXT(MATCH(H89,UNIQUE(FILTER($H$2:$H1066,$H$2:$H1066&lt;&gt;"""")),0),""000"")"),"076")</f>
        <v>076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240</v>
      </c>
      <c r="B90" s="5" t="s">
        <v>241</v>
      </c>
      <c r="C90" s="7" t="s">
        <v>242</v>
      </c>
      <c r="D90" s="6" t="s">
        <v>243</v>
      </c>
      <c r="E90" s="5" t="s">
        <v>244</v>
      </c>
      <c r="F90" s="5" t="s">
        <v>14</v>
      </c>
      <c r="G90" s="5" t="s">
        <v>245</v>
      </c>
      <c r="H90" s="5" t="s">
        <v>246</v>
      </c>
      <c r="I90" s="5" t="s">
        <v>17</v>
      </c>
      <c r="J90" s="5" t="str">
        <f>IFERROR(__xludf.DUMMYFUNCTION("TEXT(MATCH(H90,UNIQUE(FILTER($H$2:$H1066,$H$2:$H1066&lt;&gt;"""")),0),""000"")"),"077")</f>
        <v>077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240</v>
      </c>
      <c r="B91" s="5" t="s">
        <v>241</v>
      </c>
      <c r="C91" s="7" t="s">
        <v>242</v>
      </c>
      <c r="D91" s="6" t="s">
        <v>243</v>
      </c>
      <c r="E91" s="5" t="s">
        <v>244</v>
      </c>
      <c r="F91" s="5" t="s">
        <v>14</v>
      </c>
      <c r="G91" s="5" t="s">
        <v>247</v>
      </c>
      <c r="H91" s="5" t="s">
        <v>246</v>
      </c>
      <c r="I91" s="5" t="s">
        <v>17</v>
      </c>
      <c r="J91" s="5" t="str">
        <f>IFERROR(__xludf.DUMMYFUNCTION("TEXT(MATCH(H91,UNIQUE(FILTER($H$2:$H1066,$H$2:$H1066&lt;&gt;"""")),0),""000"")"),"077")</f>
        <v>077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248</v>
      </c>
      <c r="B92" s="5" t="s">
        <v>249</v>
      </c>
      <c r="C92" s="7" t="s">
        <v>12</v>
      </c>
      <c r="D92" s="6" t="s">
        <v>250</v>
      </c>
      <c r="E92" s="5" t="s">
        <v>249</v>
      </c>
      <c r="F92" s="5" t="s">
        <v>14</v>
      </c>
      <c r="G92" s="8" t="s">
        <v>251</v>
      </c>
      <c r="H92" s="5" t="s">
        <v>252</v>
      </c>
      <c r="I92" s="5" t="s">
        <v>17</v>
      </c>
      <c r="J92" s="5" t="str">
        <f>IFERROR(__xludf.DUMMYFUNCTION("TEXT(MATCH(H92,UNIQUE(FILTER($H$2:$H1066,$H$2:$H1066&lt;&gt;"""")),0),""000"")"),"078")</f>
        <v>078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248</v>
      </c>
      <c r="B93" s="5" t="s">
        <v>249</v>
      </c>
      <c r="C93" s="7" t="s">
        <v>12</v>
      </c>
      <c r="D93" s="6" t="s">
        <v>250</v>
      </c>
      <c r="E93" s="5" t="s">
        <v>249</v>
      </c>
      <c r="F93" s="5" t="s">
        <v>14</v>
      </c>
      <c r="G93" s="8" t="s">
        <v>253</v>
      </c>
      <c r="H93" s="5" t="s">
        <v>254</v>
      </c>
      <c r="I93" s="5" t="s">
        <v>17</v>
      </c>
      <c r="J93" s="5" t="str">
        <f>IFERROR(__xludf.DUMMYFUNCTION("TEXT(MATCH(H93,UNIQUE(FILTER($H$2:$H1066,$H$2:$H1066&lt;&gt;"""")),0),""000"")"),"079")</f>
        <v>079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248</v>
      </c>
      <c r="B94" s="5" t="s">
        <v>249</v>
      </c>
      <c r="C94" s="7" t="s">
        <v>12</v>
      </c>
      <c r="D94" s="6" t="s">
        <v>250</v>
      </c>
      <c r="E94" s="5" t="s">
        <v>249</v>
      </c>
      <c r="F94" s="5" t="s">
        <v>14</v>
      </c>
      <c r="G94" s="5" t="s">
        <v>255</v>
      </c>
      <c r="H94" s="5" t="s">
        <v>256</v>
      </c>
      <c r="I94" s="5" t="s">
        <v>17</v>
      </c>
      <c r="J94" s="5" t="str">
        <f>IFERROR(__xludf.DUMMYFUNCTION("TEXT(MATCH(H94,UNIQUE(FILTER($H$2:$H1066,$H$2:$H1066&lt;&gt;"""")),0),""000"")"),"080")</f>
        <v>080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248</v>
      </c>
      <c r="B95" s="5" t="s">
        <v>249</v>
      </c>
      <c r="C95" s="7" t="s">
        <v>12</v>
      </c>
      <c r="D95" s="6" t="s">
        <v>250</v>
      </c>
      <c r="E95" s="5" t="s">
        <v>249</v>
      </c>
      <c r="F95" s="5" t="s">
        <v>25</v>
      </c>
      <c r="G95" s="5" t="s">
        <v>257</v>
      </c>
      <c r="H95" s="5" t="s">
        <v>258</v>
      </c>
      <c r="I95" s="5" t="s">
        <v>17</v>
      </c>
      <c r="J95" s="5" t="str">
        <f>IFERROR(__xludf.DUMMYFUNCTION("TEXT(MATCH(H95,UNIQUE(FILTER($H$2:$H1066,$H$2:$H1066&lt;&gt;"""")),0),""000"")"),"081")</f>
        <v>081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248</v>
      </c>
      <c r="B96" s="5" t="s">
        <v>249</v>
      </c>
      <c r="C96" s="7" t="s">
        <v>12</v>
      </c>
      <c r="D96" s="6" t="s">
        <v>250</v>
      </c>
      <c r="E96" s="5" t="s">
        <v>249</v>
      </c>
      <c r="F96" s="5" t="s">
        <v>25</v>
      </c>
      <c r="G96" s="5" t="s">
        <v>259</v>
      </c>
      <c r="H96" s="5" t="s">
        <v>260</v>
      </c>
      <c r="I96" s="5" t="s">
        <v>17</v>
      </c>
      <c r="J96" s="5" t="str">
        <f>IFERROR(__xludf.DUMMYFUNCTION("TEXT(MATCH(H96,UNIQUE(FILTER($H$2:$H1066,$H$2:$H1066&lt;&gt;"""")),0),""000"")"),"082")</f>
        <v>082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248</v>
      </c>
      <c r="B97" s="5" t="s">
        <v>249</v>
      </c>
      <c r="C97" s="7" t="s">
        <v>12</v>
      </c>
      <c r="D97" s="6" t="s">
        <v>250</v>
      </c>
      <c r="E97" s="5" t="s">
        <v>249</v>
      </c>
      <c r="F97" s="5" t="s">
        <v>25</v>
      </c>
      <c r="G97" s="5" t="s">
        <v>261</v>
      </c>
      <c r="H97" s="5" t="s">
        <v>262</v>
      </c>
      <c r="I97" s="5" t="s">
        <v>17</v>
      </c>
      <c r="J97" s="5" t="str">
        <f>IFERROR(__xludf.DUMMYFUNCTION("TEXT(MATCH(H97,UNIQUE(FILTER($H$2:$H1066,$H$2:$H1066&lt;&gt;"""")),0),""000"")"),"083")</f>
        <v>083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248</v>
      </c>
      <c r="B98" s="5" t="s">
        <v>249</v>
      </c>
      <c r="C98" s="7" t="s">
        <v>263</v>
      </c>
      <c r="D98" s="6" t="s">
        <v>264</v>
      </c>
      <c r="E98" s="5" t="s">
        <v>265</v>
      </c>
      <c r="F98" s="5" t="s">
        <v>14</v>
      </c>
      <c r="G98" s="5" t="s">
        <v>266</v>
      </c>
      <c r="H98" s="5" t="s">
        <v>267</v>
      </c>
      <c r="I98" s="5" t="s">
        <v>268</v>
      </c>
      <c r="J98" s="5" t="str">
        <f>IFERROR(__xludf.DUMMYFUNCTION("TEXT(MATCH(H98,UNIQUE(FILTER($H$2:$H1066,$H$2:$H1066&lt;&gt;"""")),0),""000"")"),"084")</f>
        <v>084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269</v>
      </c>
      <c r="B99" s="5" t="s">
        <v>270</v>
      </c>
      <c r="C99" s="5" t="s">
        <v>271</v>
      </c>
      <c r="D99" s="6" t="s">
        <v>272</v>
      </c>
      <c r="E99" s="5" t="s">
        <v>273</v>
      </c>
      <c r="F99" s="5" t="s">
        <v>14</v>
      </c>
      <c r="G99" s="5" t="s">
        <v>274</v>
      </c>
      <c r="H99" s="5" t="s">
        <v>275</v>
      </c>
      <c r="I99" s="5" t="s">
        <v>218</v>
      </c>
      <c r="J99" s="5" t="str">
        <f>IFERROR(__xludf.DUMMYFUNCTION("TEXT(MATCH(H99,UNIQUE(FILTER($H$2:$H1066,$H$2:$H1066&lt;&gt;"""")),0),""000"")"),"085")</f>
        <v>085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269</v>
      </c>
      <c r="B100" s="5" t="s">
        <v>270</v>
      </c>
      <c r="C100" s="5" t="s">
        <v>271</v>
      </c>
      <c r="D100" s="6" t="s">
        <v>272</v>
      </c>
      <c r="E100" s="5" t="s">
        <v>273</v>
      </c>
      <c r="F100" s="5" t="s">
        <v>14</v>
      </c>
      <c r="G100" s="5" t="s">
        <v>276</v>
      </c>
      <c r="H100" s="5" t="s">
        <v>275</v>
      </c>
      <c r="I100" s="5" t="s">
        <v>218</v>
      </c>
      <c r="J100" s="5" t="str">
        <f>IFERROR(__xludf.DUMMYFUNCTION("TEXT(MATCH(H100,UNIQUE(FILTER($H$2:$H1066,$H$2:$H1066&lt;&gt;"""")),0),""000"")"),"085")</f>
        <v>085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269</v>
      </c>
      <c r="B101" s="5" t="s">
        <v>270</v>
      </c>
      <c r="C101" s="5" t="s">
        <v>271</v>
      </c>
      <c r="D101" s="6" t="s">
        <v>272</v>
      </c>
      <c r="E101" s="5" t="s">
        <v>273</v>
      </c>
      <c r="F101" s="5" t="s">
        <v>14</v>
      </c>
      <c r="G101" s="5" t="s">
        <v>277</v>
      </c>
      <c r="H101" s="5" t="s">
        <v>275</v>
      </c>
      <c r="I101" s="5" t="s">
        <v>218</v>
      </c>
      <c r="J101" s="5" t="str">
        <f>IFERROR(__xludf.DUMMYFUNCTION("TEXT(MATCH(H101,UNIQUE(FILTER($H$2:$H1066,$H$2:$H1066&lt;&gt;"""")),0),""000"")"),"085")</f>
        <v>085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269</v>
      </c>
      <c r="B102" s="5" t="s">
        <v>270</v>
      </c>
      <c r="C102" s="5" t="s">
        <v>271</v>
      </c>
      <c r="D102" s="6" t="s">
        <v>272</v>
      </c>
      <c r="E102" s="5" t="s">
        <v>273</v>
      </c>
      <c r="F102" s="5" t="s">
        <v>14</v>
      </c>
      <c r="G102" s="5" t="s">
        <v>278</v>
      </c>
      <c r="H102" s="5" t="s">
        <v>275</v>
      </c>
      <c r="I102" s="5" t="s">
        <v>218</v>
      </c>
      <c r="J102" s="5" t="str">
        <f>IFERROR(__xludf.DUMMYFUNCTION("TEXT(MATCH(H102,UNIQUE(FILTER($H$2:$H1066,$H$2:$H1066&lt;&gt;"""")),0),""000"")"),"085")</f>
        <v>085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269</v>
      </c>
      <c r="B103" s="5" t="s">
        <v>270</v>
      </c>
      <c r="C103" s="5" t="s">
        <v>271</v>
      </c>
      <c r="D103" s="6" t="s">
        <v>272</v>
      </c>
      <c r="E103" s="5" t="s">
        <v>273</v>
      </c>
      <c r="F103" s="5" t="s">
        <v>14</v>
      </c>
      <c r="G103" s="5" t="s">
        <v>279</v>
      </c>
      <c r="H103" s="5" t="s">
        <v>280</v>
      </c>
      <c r="I103" s="5" t="s">
        <v>218</v>
      </c>
      <c r="J103" s="5" t="str">
        <f>IFERROR(__xludf.DUMMYFUNCTION("TEXT(MATCH(H103,UNIQUE(FILTER($H$2:$H1066,$H$2:$H1066&lt;&gt;"""")),0),""000"")"),"086")</f>
        <v>086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269</v>
      </c>
      <c r="B104" s="5" t="s">
        <v>270</v>
      </c>
      <c r="C104" s="5" t="s">
        <v>271</v>
      </c>
      <c r="D104" s="6" t="s">
        <v>272</v>
      </c>
      <c r="E104" s="5" t="s">
        <v>273</v>
      </c>
      <c r="F104" s="5" t="s">
        <v>14</v>
      </c>
      <c r="G104" s="5" t="s">
        <v>281</v>
      </c>
      <c r="H104" s="5" t="s">
        <v>280</v>
      </c>
      <c r="I104" s="5" t="s">
        <v>218</v>
      </c>
      <c r="J104" s="5" t="str">
        <f>IFERROR(__xludf.DUMMYFUNCTION("TEXT(MATCH(H104,UNIQUE(FILTER($H$2:$H1066,$H$2:$H1066&lt;&gt;"""")),0),""000"")"),"086")</f>
        <v>086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269</v>
      </c>
      <c r="B105" s="5" t="s">
        <v>270</v>
      </c>
      <c r="C105" s="5" t="s">
        <v>271</v>
      </c>
      <c r="D105" s="6" t="s">
        <v>272</v>
      </c>
      <c r="E105" s="5" t="s">
        <v>273</v>
      </c>
      <c r="F105" s="5" t="s">
        <v>14</v>
      </c>
      <c r="G105" s="5" t="s">
        <v>282</v>
      </c>
      <c r="H105" s="5" t="s">
        <v>283</v>
      </c>
      <c r="I105" s="5" t="s">
        <v>218</v>
      </c>
      <c r="J105" s="5" t="str">
        <f>IFERROR(__xludf.DUMMYFUNCTION("TEXT(MATCH(H105,UNIQUE(FILTER($H$2:$H1066,$H$2:$H1066&lt;&gt;"""")),0),""000"")"),"087")</f>
        <v>087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269</v>
      </c>
      <c r="B106" s="5" t="s">
        <v>270</v>
      </c>
      <c r="C106" s="5" t="s">
        <v>271</v>
      </c>
      <c r="D106" s="6" t="s">
        <v>272</v>
      </c>
      <c r="E106" s="5" t="s">
        <v>273</v>
      </c>
      <c r="F106" s="5" t="s">
        <v>25</v>
      </c>
      <c r="G106" s="5" t="s">
        <v>284</v>
      </c>
      <c r="H106" s="5" t="s">
        <v>285</v>
      </c>
      <c r="I106" s="5" t="s">
        <v>17</v>
      </c>
      <c r="J106" s="5" t="str">
        <f>IFERROR(__xludf.DUMMYFUNCTION("TEXT(MATCH(H106,UNIQUE(FILTER($H$2:$H1066,$H$2:$H1066&lt;&gt;"""")),0),""000"")"),"088")</f>
        <v>088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269</v>
      </c>
      <c r="B107" s="5" t="s">
        <v>270</v>
      </c>
      <c r="C107" s="5" t="s">
        <v>271</v>
      </c>
      <c r="D107" s="6" t="s">
        <v>272</v>
      </c>
      <c r="E107" s="5" t="s">
        <v>273</v>
      </c>
      <c r="F107" s="5" t="s">
        <v>25</v>
      </c>
      <c r="G107" s="5" t="s">
        <v>286</v>
      </c>
      <c r="H107" s="5" t="s">
        <v>287</v>
      </c>
      <c r="I107" s="5" t="s">
        <v>17</v>
      </c>
      <c r="J107" s="5" t="str">
        <f>IFERROR(__xludf.DUMMYFUNCTION("TEXT(MATCH(H107,UNIQUE(FILTER($H$2:$H1066,$H$2:$H1066&lt;&gt;"""")),0),""000"")"),"089")</f>
        <v>089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269</v>
      </c>
      <c r="B108" s="5" t="s">
        <v>270</v>
      </c>
      <c r="C108" s="5" t="s">
        <v>271</v>
      </c>
      <c r="D108" s="6" t="s">
        <v>272</v>
      </c>
      <c r="E108" s="5" t="s">
        <v>273</v>
      </c>
      <c r="F108" s="5" t="s">
        <v>25</v>
      </c>
      <c r="G108" s="5" t="s">
        <v>288</v>
      </c>
      <c r="H108" s="5" t="s">
        <v>289</v>
      </c>
      <c r="I108" s="5" t="s">
        <v>17</v>
      </c>
      <c r="J108" s="5" t="str">
        <f>IFERROR(__xludf.DUMMYFUNCTION("TEXT(MATCH(H108,UNIQUE(FILTER($H$2:$H1066,$H$2:$H1066&lt;&gt;"""")),0),""000"")"),"090")</f>
        <v>090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269</v>
      </c>
      <c r="B109" s="5" t="s">
        <v>270</v>
      </c>
      <c r="C109" s="5" t="s">
        <v>271</v>
      </c>
      <c r="D109" s="6" t="s">
        <v>272</v>
      </c>
      <c r="E109" s="5" t="s">
        <v>273</v>
      </c>
      <c r="F109" s="5" t="s">
        <v>14</v>
      </c>
      <c r="G109" s="5" t="s">
        <v>290</v>
      </c>
      <c r="H109" s="5" t="s">
        <v>291</v>
      </c>
      <c r="I109" s="5" t="s">
        <v>17</v>
      </c>
      <c r="J109" s="5" t="str">
        <f>IFERROR(__xludf.DUMMYFUNCTION("TEXT(MATCH(H109,UNIQUE(FILTER($H$2:$H1066,$H$2:$H1066&lt;&gt;"""")),0),""000"")"),"091")</f>
        <v>091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269</v>
      </c>
      <c r="B110" s="5" t="s">
        <v>270</v>
      </c>
      <c r="C110" s="5" t="s">
        <v>271</v>
      </c>
      <c r="D110" s="6" t="s">
        <v>272</v>
      </c>
      <c r="E110" s="5" t="s">
        <v>273</v>
      </c>
      <c r="F110" s="5" t="s">
        <v>14</v>
      </c>
      <c r="G110" s="5" t="s">
        <v>292</v>
      </c>
      <c r="H110" s="5" t="s">
        <v>293</v>
      </c>
      <c r="I110" s="5" t="s">
        <v>17</v>
      </c>
      <c r="J110" s="5" t="str">
        <f>IFERROR(__xludf.DUMMYFUNCTION("TEXT(MATCH(H110,UNIQUE(FILTER($H$2:$H1066,$H$2:$H1066&lt;&gt;"""")),0),""000"")"),"092")</f>
        <v>092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269</v>
      </c>
      <c r="B111" s="5" t="s">
        <v>270</v>
      </c>
      <c r="C111" s="5" t="s">
        <v>271</v>
      </c>
      <c r="D111" s="6" t="s">
        <v>272</v>
      </c>
      <c r="E111" s="5" t="s">
        <v>273</v>
      </c>
      <c r="F111" s="5" t="s">
        <v>25</v>
      </c>
      <c r="G111" s="5" t="s">
        <v>294</v>
      </c>
      <c r="H111" s="5" t="s">
        <v>295</v>
      </c>
      <c r="I111" s="5" t="s">
        <v>17</v>
      </c>
      <c r="J111" s="5" t="str">
        <f>IFERROR(__xludf.DUMMYFUNCTION("TEXT(MATCH(H111,UNIQUE(FILTER($H$2:$H1066,$H$2:$H1066&lt;&gt;"""")),0),""000"")"),"093")</f>
        <v>093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0.0" customHeight="1">
      <c r="A112" s="5" t="s">
        <v>269</v>
      </c>
      <c r="B112" s="5" t="s">
        <v>270</v>
      </c>
      <c r="C112" s="5" t="s">
        <v>271</v>
      </c>
      <c r="D112" s="6" t="s">
        <v>272</v>
      </c>
      <c r="E112" s="5" t="s">
        <v>273</v>
      </c>
      <c r="F112" s="5" t="s">
        <v>25</v>
      </c>
      <c r="G112" s="5" t="s">
        <v>296</v>
      </c>
      <c r="H112" s="5" t="s">
        <v>297</v>
      </c>
      <c r="I112" s="5" t="s">
        <v>17</v>
      </c>
      <c r="J112" s="5" t="str">
        <f>IFERROR(__xludf.DUMMYFUNCTION("TEXT(MATCH(H112,UNIQUE(FILTER($H$2:$H1066,$H$2:$H1066&lt;&gt;"""")),0),""000"")"),"094")</f>
        <v>094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269</v>
      </c>
      <c r="B113" s="5" t="s">
        <v>270</v>
      </c>
      <c r="C113" s="5" t="s">
        <v>271</v>
      </c>
      <c r="D113" s="6" t="s">
        <v>272</v>
      </c>
      <c r="E113" s="5" t="s">
        <v>273</v>
      </c>
      <c r="F113" s="5" t="s">
        <v>14</v>
      </c>
      <c r="G113" s="5" t="s">
        <v>298</v>
      </c>
      <c r="H113" s="5" t="s">
        <v>299</v>
      </c>
      <c r="I113" s="5" t="s">
        <v>17</v>
      </c>
      <c r="J113" s="5" t="str">
        <f>IFERROR(__xludf.DUMMYFUNCTION("TEXT(MATCH(H113,UNIQUE(FILTER($H$2:$H1066,$H$2:$H1066&lt;&gt;"""")),0),""000"")"),"095")</f>
        <v>095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269</v>
      </c>
      <c r="B114" s="5" t="s">
        <v>270</v>
      </c>
      <c r="C114" s="5" t="s">
        <v>271</v>
      </c>
      <c r="D114" s="6" t="s">
        <v>272</v>
      </c>
      <c r="E114" s="5" t="s">
        <v>273</v>
      </c>
      <c r="F114" s="5" t="s">
        <v>25</v>
      </c>
      <c r="G114" s="5" t="s">
        <v>300</v>
      </c>
      <c r="H114" s="5" t="s">
        <v>301</v>
      </c>
      <c r="I114" s="5" t="s">
        <v>17</v>
      </c>
      <c r="J114" s="5" t="str">
        <f>IFERROR(__xludf.DUMMYFUNCTION("TEXT(MATCH(H114,UNIQUE(FILTER($H$2:$H1066,$H$2:$H1066&lt;&gt;"""")),0),""000"")"),"096")</f>
        <v>096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269</v>
      </c>
      <c r="B115" s="5" t="s">
        <v>270</v>
      </c>
      <c r="C115" s="5" t="s">
        <v>271</v>
      </c>
      <c r="D115" s="6" t="s">
        <v>272</v>
      </c>
      <c r="E115" s="5" t="s">
        <v>273</v>
      </c>
      <c r="F115" s="5" t="s">
        <v>25</v>
      </c>
      <c r="G115" s="5" t="s">
        <v>302</v>
      </c>
      <c r="H115" s="5" t="s">
        <v>303</v>
      </c>
      <c r="I115" s="5" t="s">
        <v>17</v>
      </c>
      <c r="J115" s="5" t="str">
        <f>IFERROR(__xludf.DUMMYFUNCTION("TEXT(MATCH(H115,UNIQUE(FILTER($H$2:$H1066,$H$2:$H1066&lt;&gt;"""")),0),""000"")"),"097")</f>
        <v>097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269</v>
      </c>
      <c r="B116" s="5" t="s">
        <v>270</v>
      </c>
      <c r="C116" s="5" t="s">
        <v>271</v>
      </c>
      <c r="D116" s="6" t="s">
        <v>272</v>
      </c>
      <c r="E116" s="5" t="s">
        <v>273</v>
      </c>
      <c r="F116" s="5" t="s">
        <v>14</v>
      </c>
      <c r="G116" s="5" t="s">
        <v>304</v>
      </c>
      <c r="H116" s="5" t="s">
        <v>305</v>
      </c>
      <c r="I116" s="5" t="s">
        <v>218</v>
      </c>
      <c r="J116" s="5" t="str">
        <f>IFERROR(__xludf.DUMMYFUNCTION("TEXT(MATCH(H116,UNIQUE(FILTER($H$2:$H1066,$H$2:$H1066&lt;&gt;"""")),0),""000"")"),"098")</f>
        <v>098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269</v>
      </c>
      <c r="B117" s="5" t="s">
        <v>270</v>
      </c>
      <c r="C117" s="5" t="s">
        <v>271</v>
      </c>
      <c r="D117" s="6" t="s">
        <v>272</v>
      </c>
      <c r="E117" s="5" t="s">
        <v>273</v>
      </c>
      <c r="F117" s="5" t="s">
        <v>14</v>
      </c>
      <c r="G117" s="5" t="s">
        <v>306</v>
      </c>
      <c r="H117" s="5" t="s">
        <v>307</v>
      </c>
      <c r="I117" s="5" t="s">
        <v>218</v>
      </c>
      <c r="J117" s="5" t="str">
        <f>IFERROR(__xludf.DUMMYFUNCTION("TEXT(MATCH(H117,UNIQUE(FILTER($H$2:$H1066,$H$2:$H1066&lt;&gt;"""")),0),""000"")"),"099")</f>
        <v>099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269</v>
      </c>
      <c r="B118" s="5" t="s">
        <v>270</v>
      </c>
      <c r="C118" s="5" t="s">
        <v>271</v>
      </c>
      <c r="D118" s="6" t="s">
        <v>272</v>
      </c>
      <c r="E118" s="5" t="s">
        <v>273</v>
      </c>
      <c r="F118" s="5" t="s">
        <v>14</v>
      </c>
      <c r="G118" s="5" t="s">
        <v>308</v>
      </c>
      <c r="H118" s="5" t="s">
        <v>309</v>
      </c>
      <c r="I118" s="5" t="s">
        <v>218</v>
      </c>
      <c r="J118" s="5" t="str">
        <f>IFERROR(__xludf.DUMMYFUNCTION("TEXT(MATCH(H118,UNIQUE(FILTER($H$2:$H1066,$H$2:$H1066&lt;&gt;"""")),0),""000"")"),"100")</f>
        <v>100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269</v>
      </c>
      <c r="B119" s="5" t="s">
        <v>270</v>
      </c>
      <c r="C119" s="5" t="s">
        <v>271</v>
      </c>
      <c r="D119" s="6" t="s">
        <v>272</v>
      </c>
      <c r="E119" s="5" t="s">
        <v>273</v>
      </c>
      <c r="F119" s="5" t="s">
        <v>25</v>
      </c>
      <c r="G119" s="5" t="s">
        <v>310</v>
      </c>
      <c r="H119" s="5" t="s">
        <v>311</v>
      </c>
      <c r="I119" s="5" t="s">
        <v>17</v>
      </c>
      <c r="J119" s="5" t="str">
        <f>IFERROR(__xludf.DUMMYFUNCTION("TEXT(MATCH(H119,UNIQUE(FILTER($H$2:$H1066,$H$2:$H1066&lt;&gt;"""")),0),""000"")"),"101")</f>
        <v>101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269</v>
      </c>
      <c r="B120" s="5" t="s">
        <v>270</v>
      </c>
      <c r="C120" s="5" t="s">
        <v>271</v>
      </c>
      <c r="D120" s="6" t="s">
        <v>272</v>
      </c>
      <c r="E120" s="5" t="s">
        <v>273</v>
      </c>
      <c r="F120" s="5" t="s">
        <v>25</v>
      </c>
      <c r="G120" s="5" t="s">
        <v>312</v>
      </c>
      <c r="H120" s="5" t="s">
        <v>313</v>
      </c>
      <c r="I120" s="5" t="s">
        <v>17</v>
      </c>
      <c r="J120" s="5" t="str">
        <f>IFERROR(__xludf.DUMMYFUNCTION("TEXT(MATCH(H120,UNIQUE(FILTER($H$2:$H1066,$H$2:$H1066&lt;&gt;"""")),0),""000"")"),"102")</f>
        <v>102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314</v>
      </c>
      <c r="B121" s="5" t="s">
        <v>315</v>
      </c>
      <c r="C121" s="5" t="s">
        <v>12</v>
      </c>
      <c r="D121" s="6" t="s">
        <v>316</v>
      </c>
      <c r="E121" s="5" t="s">
        <v>315</v>
      </c>
      <c r="F121" s="5" t="s">
        <v>14</v>
      </c>
      <c r="G121" s="5" t="s">
        <v>317</v>
      </c>
      <c r="H121" s="5" t="s">
        <v>318</v>
      </c>
      <c r="I121" s="5" t="s">
        <v>17</v>
      </c>
      <c r="J121" s="5" t="str">
        <f>IFERROR(__xludf.DUMMYFUNCTION("TEXT(MATCH(H121,UNIQUE(FILTER($H$2:$H1066,$H$2:$H1066&lt;&gt;"""")),0),""000"")"),"103")</f>
        <v>103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314</v>
      </c>
      <c r="B122" s="5" t="s">
        <v>315</v>
      </c>
      <c r="C122" s="5" t="s">
        <v>12</v>
      </c>
      <c r="D122" s="6" t="s">
        <v>316</v>
      </c>
      <c r="E122" s="5" t="s">
        <v>315</v>
      </c>
      <c r="F122" s="5" t="s">
        <v>14</v>
      </c>
      <c r="G122" s="5" t="s">
        <v>319</v>
      </c>
      <c r="H122" s="9" t="s">
        <v>320</v>
      </c>
      <c r="I122" s="5" t="s">
        <v>17</v>
      </c>
      <c r="J122" s="5" t="str">
        <f>IFERROR(__xludf.DUMMYFUNCTION("TEXT(MATCH(H122,UNIQUE(FILTER($H$2:$H1066,$H$2:$H1066&lt;&gt;"""")),0),""000"")"),"104")</f>
        <v>104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314</v>
      </c>
      <c r="B123" s="5" t="s">
        <v>315</v>
      </c>
      <c r="C123" s="5" t="s">
        <v>12</v>
      </c>
      <c r="D123" s="6" t="s">
        <v>316</v>
      </c>
      <c r="E123" s="5" t="s">
        <v>315</v>
      </c>
      <c r="F123" s="5" t="s">
        <v>14</v>
      </c>
      <c r="G123" s="5" t="s">
        <v>321</v>
      </c>
      <c r="H123" s="5" t="s">
        <v>322</v>
      </c>
      <c r="I123" s="5" t="s">
        <v>17</v>
      </c>
      <c r="J123" s="5" t="str">
        <f>IFERROR(__xludf.DUMMYFUNCTION("TEXT(MATCH(H123,UNIQUE(FILTER($H$2:$H1066,$H$2:$H1066&lt;&gt;"""")),0),""000"")"),"105")</f>
        <v>105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314</v>
      </c>
      <c r="B124" s="5" t="s">
        <v>315</v>
      </c>
      <c r="C124" s="5" t="s">
        <v>12</v>
      </c>
      <c r="D124" s="6" t="s">
        <v>316</v>
      </c>
      <c r="E124" s="5" t="s">
        <v>315</v>
      </c>
      <c r="F124" s="5" t="s">
        <v>25</v>
      </c>
      <c r="G124" s="5" t="s">
        <v>323</v>
      </c>
      <c r="H124" s="9" t="s">
        <v>324</v>
      </c>
      <c r="I124" s="5" t="s">
        <v>17</v>
      </c>
      <c r="J124" s="5" t="str">
        <f>IFERROR(__xludf.DUMMYFUNCTION("TEXT(MATCH(H124,UNIQUE(FILTER($H$2:$H1066,$H$2:$H1066&lt;&gt;"""")),0),""000"")"),"106")</f>
        <v>106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325</v>
      </c>
      <c r="B125" s="5" t="s">
        <v>326</v>
      </c>
      <c r="C125" s="5" t="s">
        <v>12</v>
      </c>
      <c r="D125" s="5" t="s">
        <v>327</v>
      </c>
      <c r="E125" s="5" t="s">
        <v>326</v>
      </c>
      <c r="F125" s="5" t="s">
        <v>14</v>
      </c>
      <c r="G125" s="5" t="s">
        <v>328</v>
      </c>
      <c r="H125" s="5" t="s">
        <v>329</v>
      </c>
      <c r="I125" s="5" t="s">
        <v>268</v>
      </c>
      <c r="J125" s="5" t="str">
        <f>IFERROR(__xludf.DUMMYFUNCTION("TEXT(MATCH(H125,UNIQUE(FILTER($H$2:$H1066,$H$2:$H1066&lt;&gt;"""")),0),""000"")"),"107")</f>
        <v>107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325</v>
      </c>
      <c r="B126" s="5" t="s">
        <v>326</v>
      </c>
      <c r="C126" s="5" t="s">
        <v>12</v>
      </c>
      <c r="D126" s="5" t="s">
        <v>327</v>
      </c>
      <c r="E126" s="5" t="s">
        <v>326</v>
      </c>
      <c r="F126" s="5" t="s">
        <v>14</v>
      </c>
      <c r="G126" s="5" t="s">
        <v>330</v>
      </c>
      <c r="H126" s="5" t="s">
        <v>331</v>
      </c>
      <c r="I126" s="5" t="s">
        <v>268</v>
      </c>
      <c r="J126" s="5" t="str">
        <f>IFERROR(__xludf.DUMMYFUNCTION("TEXT(MATCH(H126,UNIQUE(FILTER($H$2:$H1066,$H$2:$H1066&lt;&gt;"""")),0),""000"")"),"108")</f>
        <v>108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325</v>
      </c>
      <c r="B127" s="5" t="s">
        <v>326</v>
      </c>
      <c r="C127" s="5" t="s">
        <v>12</v>
      </c>
      <c r="D127" s="5" t="s">
        <v>327</v>
      </c>
      <c r="E127" s="5" t="s">
        <v>326</v>
      </c>
      <c r="F127" s="5" t="s">
        <v>14</v>
      </c>
      <c r="G127" s="5" t="s">
        <v>332</v>
      </c>
      <c r="H127" s="5" t="s">
        <v>333</v>
      </c>
      <c r="I127" s="5" t="s">
        <v>268</v>
      </c>
      <c r="J127" s="5" t="str">
        <f>IFERROR(__xludf.DUMMYFUNCTION("TEXT(MATCH(H127,UNIQUE(FILTER($H$2:$H1066,$H$2:$H1066&lt;&gt;"""")),0),""000"")"),"109")</f>
        <v>109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325</v>
      </c>
      <c r="B128" s="5" t="s">
        <v>326</v>
      </c>
      <c r="C128" s="5" t="s">
        <v>12</v>
      </c>
      <c r="D128" s="5" t="s">
        <v>327</v>
      </c>
      <c r="E128" s="5" t="s">
        <v>326</v>
      </c>
      <c r="F128" s="5" t="s">
        <v>14</v>
      </c>
      <c r="G128" s="5" t="s">
        <v>334</v>
      </c>
      <c r="H128" s="5" t="s">
        <v>335</v>
      </c>
      <c r="I128" s="5" t="s">
        <v>268</v>
      </c>
      <c r="J128" s="5" t="str">
        <f>IFERROR(__xludf.DUMMYFUNCTION("TEXT(MATCH(H128,UNIQUE(FILTER($H$2:$H1066,$H$2:$H1066&lt;&gt;"""")),0),""000"")"),"110")</f>
        <v>110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336</v>
      </c>
      <c r="B129" s="5" t="s">
        <v>337</v>
      </c>
      <c r="C129" s="5" t="s">
        <v>12</v>
      </c>
      <c r="D129" s="5" t="s">
        <v>338</v>
      </c>
      <c r="E129" s="5" t="s">
        <v>339</v>
      </c>
      <c r="F129" s="5" t="s">
        <v>14</v>
      </c>
      <c r="G129" s="5" t="s">
        <v>340</v>
      </c>
      <c r="H129" s="5" t="s">
        <v>341</v>
      </c>
      <c r="I129" s="5" t="s">
        <v>268</v>
      </c>
      <c r="J129" s="5" t="str">
        <f>IFERROR(__xludf.DUMMYFUNCTION("TEXT(MATCH(H129,UNIQUE(FILTER($H$2:$H1066,$H$2:$H1066&lt;&gt;"""")),0),""000"")"),"111")</f>
        <v>111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336</v>
      </c>
      <c r="B130" s="5" t="s">
        <v>337</v>
      </c>
      <c r="C130" s="5" t="s">
        <v>12</v>
      </c>
      <c r="D130" s="5" t="s">
        <v>338</v>
      </c>
      <c r="E130" s="5" t="s">
        <v>339</v>
      </c>
      <c r="F130" s="5" t="s">
        <v>14</v>
      </c>
      <c r="G130" s="5" t="s">
        <v>342</v>
      </c>
      <c r="H130" s="5" t="s">
        <v>341</v>
      </c>
      <c r="I130" s="5" t="s">
        <v>268</v>
      </c>
      <c r="J130" s="5" t="str">
        <f>IFERROR(__xludf.DUMMYFUNCTION("TEXT(MATCH(H130,UNIQUE(FILTER($H$2:$H1066,$H$2:$H1066&lt;&gt;"""")),0),""000"")"),"111")</f>
        <v>111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336</v>
      </c>
      <c r="B131" s="5" t="s">
        <v>337</v>
      </c>
      <c r="C131" s="5" t="s">
        <v>12</v>
      </c>
      <c r="D131" s="5" t="s">
        <v>338</v>
      </c>
      <c r="E131" s="5" t="s">
        <v>339</v>
      </c>
      <c r="F131" s="5" t="s">
        <v>14</v>
      </c>
      <c r="G131" s="5" t="s">
        <v>343</v>
      </c>
      <c r="H131" s="5" t="s">
        <v>344</v>
      </c>
      <c r="I131" s="5" t="s">
        <v>268</v>
      </c>
      <c r="J131" s="5" t="str">
        <f>IFERROR(__xludf.DUMMYFUNCTION("TEXT(MATCH(H131,UNIQUE(FILTER($H$2:$H1066,$H$2:$H1066&lt;&gt;"""")),0),""000"")"),"112")</f>
        <v>112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336</v>
      </c>
      <c r="B132" s="5" t="s">
        <v>337</v>
      </c>
      <c r="C132" s="5" t="s">
        <v>12</v>
      </c>
      <c r="D132" s="5" t="s">
        <v>338</v>
      </c>
      <c r="E132" s="5" t="s">
        <v>339</v>
      </c>
      <c r="F132" s="5" t="s">
        <v>14</v>
      </c>
      <c r="G132" s="5" t="s">
        <v>345</v>
      </c>
      <c r="H132" s="5" t="s">
        <v>344</v>
      </c>
      <c r="I132" s="5" t="s">
        <v>268</v>
      </c>
      <c r="J132" s="5" t="str">
        <f>IFERROR(__xludf.DUMMYFUNCTION("TEXT(MATCH(H132,UNIQUE(FILTER($H$2:$H1066,$H$2:$H1066&lt;&gt;"""")),0),""000"")"),"112")</f>
        <v>112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336</v>
      </c>
      <c r="B133" s="5" t="s">
        <v>337</v>
      </c>
      <c r="C133" s="5" t="s">
        <v>12</v>
      </c>
      <c r="D133" s="5" t="s">
        <v>338</v>
      </c>
      <c r="E133" s="5" t="s">
        <v>339</v>
      </c>
      <c r="F133" s="5" t="s">
        <v>14</v>
      </c>
      <c r="G133" s="5" t="s">
        <v>346</v>
      </c>
      <c r="H133" s="5" t="s">
        <v>344</v>
      </c>
      <c r="I133" s="5" t="s">
        <v>268</v>
      </c>
      <c r="J133" s="5" t="str">
        <f>IFERROR(__xludf.DUMMYFUNCTION("TEXT(MATCH(H133,UNIQUE(FILTER($H$2:$H1066,$H$2:$H1066&lt;&gt;"""")),0),""000"")"),"112")</f>
        <v>112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336</v>
      </c>
      <c r="B134" s="5" t="s">
        <v>337</v>
      </c>
      <c r="C134" s="5" t="s">
        <v>12</v>
      </c>
      <c r="D134" s="5" t="s">
        <v>338</v>
      </c>
      <c r="E134" s="5" t="s">
        <v>339</v>
      </c>
      <c r="F134" s="5" t="s">
        <v>14</v>
      </c>
      <c r="G134" s="5" t="s">
        <v>347</v>
      </c>
      <c r="H134" s="5" t="s">
        <v>348</v>
      </c>
      <c r="I134" s="5" t="s">
        <v>268</v>
      </c>
      <c r="J134" s="5" t="str">
        <f>IFERROR(__xludf.DUMMYFUNCTION("TEXT(MATCH(H134,UNIQUE(FILTER($H$2:$H1066,$H$2:$H1066&lt;&gt;"""")),0),""000"")"),"113")</f>
        <v>113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336</v>
      </c>
      <c r="B135" s="5" t="s">
        <v>337</v>
      </c>
      <c r="C135" s="5" t="s">
        <v>12</v>
      </c>
      <c r="D135" s="5" t="s">
        <v>338</v>
      </c>
      <c r="E135" s="5" t="s">
        <v>339</v>
      </c>
      <c r="F135" s="5" t="s">
        <v>14</v>
      </c>
      <c r="G135" s="5" t="s">
        <v>349</v>
      </c>
      <c r="H135" s="5" t="s">
        <v>350</v>
      </c>
      <c r="I135" s="5" t="s">
        <v>268</v>
      </c>
      <c r="J135" s="5" t="str">
        <f>IFERROR(__xludf.DUMMYFUNCTION("TEXT(MATCH(H135,UNIQUE(FILTER($H$2:$H1066,$H$2:$H1066&lt;&gt;"""")),0),""000"")"),"114")</f>
        <v>114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336</v>
      </c>
      <c r="B136" s="5" t="s">
        <v>337</v>
      </c>
      <c r="C136" s="5" t="s">
        <v>12</v>
      </c>
      <c r="D136" s="5" t="s">
        <v>338</v>
      </c>
      <c r="E136" s="5" t="s">
        <v>339</v>
      </c>
      <c r="F136" s="5" t="s">
        <v>14</v>
      </c>
      <c r="G136" s="5" t="s">
        <v>351</v>
      </c>
      <c r="H136" s="5" t="s">
        <v>348</v>
      </c>
      <c r="I136" s="5" t="s">
        <v>268</v>
      </c>
      <c r="J136" s="5" t="str">
        <f>IFERROR(__xludf.DUMMYFUNCTION("TEXT(MATCH(H136,UNIQUE(FILTER($H$2:$H1066,$H$2:$H1066&lt;&gt;"""")),0),""000"")"),"113")</f>
        <v>113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336</v>
      </c>
      <c r="B137" s="5" t="s">
        <v>337</v>
      </c>
      <c r="C137" s="5" t="s">
        <v>12</v>
      </c>
      <c r="D137" s="5" t="s">
        <v>338</v>
      </c>
      <c r="E137" s="5" t="s">
        <v>339</v>
      </c>
      <c r="F137" s="5" t="s">
        <v>14</v>
      </c>
      <c r="G137" s="5" t="s">
        <v>352</v>
      </c>
      <c r="H137" s="5" t="s">
        <v>348</v>
      </c>
      <c r="I137" s="5" t="s">
        <v>268</v>
      </c>
      <c r="J137" s="5" t="str">
        <f>IFERROR(__xludf.DUMMYFUNCTION("TEXT(MATCH(H137,UNIQUE(FILTER($H$2:$H1066,$H$2:$H1066&lt;&gt;"""")),0),""000"")"),"113")</f>
        <v>113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/>
      <c r="B138" s="6"/>
      <c r="C138" s="6"/>
      <c r="D138" s="6"/>
      <c r="E138" s="6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/>
      <c r="B139" s="6"/>
      <c r="C139" s="6"/>
      <c r="D139" s="6"/>
      <c r="E139" s="6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/>
      <c r="B140" s="6"/>
      <c r="C140" s="6"/>
      <c r="D140" s="6"/>
      <c r="E140" s="6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/>
      <c r="B141" s="6"/>
      <c r="C141" s="6"/>
      <c r="D141" s="6"/>
      <c r="E141" s="6"/>
      <c r="F141" s="6"/>
      <c r="G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/>
      <c r="B142" s="6"/>
      <c r="C142" s="6"/>
      <c r="D142" s="6"/>
      <c r="E142" s="6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/>
      <c r="B143" s="6"/>
      <c r="C143" s="6"/>
      <c r="D143" s="6"/>
      <c r="E143" s="6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/>
      <c r="B144" s="6"/>
      <c r="C144" s="6"/>
      <c r="D144" s="6"/>
      <c r="E144" s="6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/>
      <c r="B145" s="6"/>
      <c r="C145" s="6"/>
      <c r="D145" s="6"/>
      <c r="E145" s="6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/>
      <c r="B146" s="6"/>
      <c r="C146" s="6"/>
      <c r="D146" s="6"/>
      <c r="E146" s="6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/>
      <c r="B147" s="6"/>
      <c r="C147" s="6"/>
      <c r="D147" s="6"/>
      <c r="E147" s="6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/>
      <c r="B148" s="6"/>
      <c r="C148" s="6"/>
      <c r="D148" s="6"/>
      <c r="E148" s="6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/>
      <c r="B149" s="6"/>
      <c r="C149" s="6"/>
      <c r="D149" s="6"/>
      <c r="E149" s="6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/>
      <c r="B150" s="6"/>
      <c r="C150" s="6"/>
      <c r="D150" s="6"/>
      <c r="E150" s="6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/>
      <c r="B151" s="6"/>
      <c r="C151" s="6"/>
      <c r="D151" s="6"/>
      <c r="E151" s="6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/>
      <c r="B152" s="6"/>
      <c r="C152" s="6"/>
      <c r="D152" s="6"/>
      <c r="E152" s="6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/>
      <c r="B153" s="6"/>
      <c r="C153" s="6"/>
      <c r="D153" s="6"/>
      <c r="E153" s="6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/>
      <c r="B154" s="6"/>
      <c r="C154" s="6"/>
      <c r="D154" s="6"/>
      <c r="E154" s="6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/>
      <c r="B155" s="6"/>
      <c r="C155" s="6"/>
      <c r="D155" s="6"/>
      <c r="E155" s="6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/>
      <c r="B156" s="6"/>
      <c r="C156" s="6"/>
      <c r="D156" s="6"/>
      <c r="E156" s="6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/>
      <c r="B157" s="6"/>
      <c r="C157" s="6"/>
      <c r="D157" s="6"/>
      <c r="E157" s="6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/>
      <c r="B158" s="6"/>
      <c r="C158" s="6"/>
      <c r="D158" s="6"/>
      <c r="E158" s="6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/>
      <c r="B159" s="6"/>
      <c r="C159" s="6"/>
      <c r="D159" s="6"/>
      <c r="E159" s="6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/>
      <c r="B160" s="6"/>
      <c r="C160" s="6"/>
      <c r="D160" s="6"/>
      <c r="E160" s="6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/>
      <c r="B161" s="6"/>
      <c r="C161" s="6"/>
      <c r="D161" s="6"/>
      <c r="E161" s="6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/>
      <c r="B162" s="6"/>
      <c r="C162" s="6"/>
      <c r="D162" s="6"/>
      <c r="E162" s="6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/>
      <c r="B163" s="6"/>
      <c r="C163" s="6"/>
      <c r="D163" s="6"/>
      <c r="E163" s="6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/>
      <c r="B164" s="6"/>
      <c r="C164" s="6"/>
      <c r="D164" s="6"/>
      <c r="E164" s="6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/>
      <c r="B165" s="6"/>
      <c r="C165" s="6"/>
      <c r="D165" s="6"/>
      <c r="E165" s="6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/>
      <c r="B166" s="6"/>
      <c r="C166" s="6"/>
      <c r="D166" s="6"/>
      <c r="E166" s="6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/>
      <c r="B167" s="6"/>
      <c r="C167" s="6"/>
      <c r="D167" s="6"/>
      <c r="E167" s="6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/>
      <c r="B168" s="6"/>
      <c r="C168" s="6"/>
      <c r="D168" s="6"/>
      <c r="E168" s="6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/>
      <c r="B169" s="10"/>
      <c r="C169" s="10"/>
      <c r="D169" s="10"/>
      <c r="E169" s="10"/>
      <c r="F169" s="10"/>
      <c r="G169" s="10"/>
      <c r="H169" s="1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/>
      <c r="B170" s="10"/>
      <c r="C170" s="10"/>
      <c r="D170" s="10"/>
      <c r="E170" s="10"/>
      <c r="F170" s="10"/>
      <c r="G170" s="10"/>
      <c r="H170" s="1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/>
      <c r="B171" s="10"/>
      <c r="C171" s="10"/>
      <c r="D171" s="10"/>
      <c r="E171" s="10"/>
      <c r="F171" s="10"/>
      <c r="G171" s="10"/>
      <c r="H171" s="1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/>
      <c r="B172" s="10"/>
      <c r="C172" s="10"/>
      <c r="D172" s="10"/>
      <c r="E172" s="10"/>
      <c r="F172" s="10"/>
      <c r="G172" s="10"/>
      <c r="H172" s="1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/>
      <c r="B173" s="10"/>
      <c r="C173" s="10"/>
      <c r="D173" s="10"/>
      <c r="E173" s="10"/>
      <c r="F173" s="10"/>
      <c r="G173" s="10"/>
      <c r="H173" s="1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/>
      <c r="B174" s="10"/>
      <c r="C174" s="10"/>
      <c r="D174" s="10"/>
      <c r="E174" s="10"/>
      <c r="F174" s="10"/>
      <c r="G174" s="10"/>
      <c r="H174" s="1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/>
      <c r="B175" s="10"/>
      <c r="C175" s="10"/>
      <c r="D175" s="10"/>
      <c r="E175" s="10"/>
      <c r="F175" s="10"/>
      <c r="G175" s="10"/>
      <c r="H175" s="1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/>
      <c r="B176" s="10"/>
      <c r="C176" s="10"/>
      <c r="D176" s="10"/>
      <c r="E176" s="10"/>
      <c r="F176" s="10"/>
      <c r="G176" s="10"/>
      <c r="H176" s="1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/>
      <c r="B177" s="10"/>
      <c r="C177" s="10"/>
      <c r="D177" s="10"/>
      <c r="E177" s="10"/>
      <c r="F177" s="10"/>
      <c r="G177" s="10"/>
      <c r="H177" s="1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/>
      <c r="B178" s="10"/>
      <c r="C178" s="10"/>
      <c r="D178" s="10"/>
      <c r="E178" s="10"/>
      <c r="F178" s="10"/>
      <c r="G178" s="10"/>
      <c r="H178" s="1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/>
      <c r="B179" s="10"/>
      <c r="C179" s="10"/>
      <c r="D179" s="10"/>
      <c r="E179" s="10"/>
      <c r="F179" s="10"/>
      <c r="G179" s="10"/>
      <c r="H179" s="1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/>
      <c r="B180" s="10"/>
      <c r="C180" s="10"/>
      <c r="D180" s="10"/>
      <c r="E180" s="10"/>
      <c r="F180" s="10"/>
      <c r="G180" s="10"/>
      <c r="H180" s="1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</sheetData>
  <drawing r:id="rId4"/>
  <legacyDrawing r:id="rId5"/>
</worksheet>
</file>