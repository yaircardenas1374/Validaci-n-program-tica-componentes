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tc={3831e309-e861-4d46-949f-66bb0476ad49}</author>
    <author>tc={6d6ac059-2989-4293-be0e-0a709fc7f7c6}</author>
    <author>tc={893e736e-ac4f-433e-b2de-297ecf7b3a6c}</author>
    <author>tc={9e644b7b-7e8f-45e1-ba7b-1f0ab862800a}</author>
    <author>tc={bef264f3-007a-4f69-a2c7-d91c70f6ad6a}</author>
    <author>tc={d286386c-ece4-4deb-8624-51a8525a0217}</author>
    <author>tc={e4325d8e-c784-4f13-b8ed-1a9b655eba57}</author>
    <author>tc={feb3938d-12a7-445c-8ca5-4b004bde5e59}</author>
  </authors>
  <commentList>
    <comment authorId="0" xr:uid="{3831e309-e861-4d46-949f-66bb0476ad49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1" xr:uid="{6d6ac059-2989-4293-be0e-0a709fc7f7c6}" ref="H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 tiene recurso propio
</t>
      </text>
    </comment>
    <comment authorId="2" xr:uid="{893e736e-ac4f-433e-b2de-297ecf7b3a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3" xr:uid="{9e644b7b-7e8f-45e1-ba7b-1f0ab862800a}" ref="H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Tiene recurso propio
</t>
      </text>
    </comment>
    <comment authorId="4" xr:uid="{bef264f3-007a-4f69-a2c7-d91c70f6ad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5" xr:uid="{d286386c-ece4-4deb-8624-51a8525a0217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6" xr:uid="{e4325d8e-c784-4f13-b8ed-1a9b655eba57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7" xr:uid="{feb3938d-12a7-445c-8ca5-4b004bde5e59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</commentList>
</comments>
</file>

<file path=xl/sharedStrings.xml><?xml version="1.0" encoding="utf-8"?>
<sst xmlns="http://schemas.openxmlformats.org/spreadsheetml/2006/main" count="1252" uniqueCount="361">
  <si>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</si>
  <si>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</si>
  <si>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</si>
  <si>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</si>
  <si>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</si>
  <si>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</si>
  <si>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</si>
  <si>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</si>
  <si>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</si>
  <si>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</si>
  <si>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</si>
  <si>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</si>
  <si>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</si>
  <si>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</si>
  <si>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</si>
  <si>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</si>
  <si>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</si>
  <si>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</si>
  <si>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</si>
  <si>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</si>
  <si>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</si>
  <si>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</si>
  <si>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</si>
  <si>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</si>
  <si>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</si>
  <si>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</si>
  <si>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</si>
  <si>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</si>
  <si>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</si>
  <si>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</si>
  <si>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</si>
  <si>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</si>
  <si>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</si>
  <si>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</si>
  <si>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</si>
  <si>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</si>
  <si>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</si>
  <si>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</si>
  <si>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</si>
  <si>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</si>
  <si>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</si>
  <si>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</si>
  <si>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</si>
  <si>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</si>
  <si>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</si>
  <si>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</si>
  <si>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</si>
  <si>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</si>
  <si>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</si>
  <si>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</si>
  <si>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</si>
  <si>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</si>
  <si>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</si>
  <si>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</si>
  <si>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</si>
  <si>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</si>
  <si>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</si>
  <si>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</si>
  <si>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</si>
  <si>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</si>
  <si>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</si>
  <si>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</si>
  <si>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</si>
  <si>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</si>
  <si>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</si>
  <si>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</si>
  <si>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</si>
  <si>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</si>
  <si>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</si>
  <si>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</si>
  <si>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</si>
  <si>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</si>
  <si>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</si>
  <si>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</si>
  <si>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</si>
  <si>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</si>
  <si>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</si>
  <si>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</si>
  <si>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</si>
  <si>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</si>
  <si>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</si>
  <si>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</si>
  <si>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</si>
  <si>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</si>
  <si>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</si>
  <si>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</si>
  <si>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</si>
  <si>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</si>
  <si>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</si>
  <si>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</si>
  <si>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</si>
  <si>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</si>
  <si>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</si>
  <si>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</si>
  <si>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</si>
  <si>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</si>
  <si>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</si>
  <si>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</si>
  <si>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</si>
  <si>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</si>
  <si>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</si>
  <si>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</si>
  <si>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</si>
  <si>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</si>
  <si>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</si>
  <si>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</si>
  <si>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</si>
  <si>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</si>
  <si>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</si>
  <si>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</si>
  <si>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</si>
  <si>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</si>
  <si>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</si>
  <si>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</si>
  <si>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</si>
  <si>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</si>
  <si>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</si>
  <si>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</si>
  <si>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</si>
  <si>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</si>
  <si>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</si>
  <si>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</si>
  <si>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</si>
  <si>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</si>
  <si>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</si>
  <si>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</si>
  <si>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</si>
  <si>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</si>
  <si>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</si>
  <si>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</si>
  <si>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</si>
  <si>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</si>
  <si>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</si>
  <si>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</si>
  <si>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</si>
  <si>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</si>
  <si>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</si>
  <si>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</si>
  <si>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</si>
  <si>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</si>
  <si>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</si>
  <si>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</si>
  <si>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</si>
  <si>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</si>
  <si>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</si>
  <si>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</si>
  <si>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</si>
  <si>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</si>
  <si>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</si>
  <si>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</si>
  <si>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</si>
  <si>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</si>
  <si>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</si>
  <si>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</si>
  <si>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</si>
  <si>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</si>
  <si>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</si>
  <si>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</si>
  <si>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</si>
  <si>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</si>
  <si>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</si>
  <si>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</si>
  <si>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</si>
  <si>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</si>
  <si>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</si>
  <si>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</si>
  <si>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</si>
  <si>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</si>
  <si>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</si>
  <si>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</si>
  <si>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</si>
  <si>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</si>
  <si>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</si>
  <si>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</si>
  <si>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</si>
  <si>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</si>
  <si>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</si>
  <si>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</si>
  <si>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</si>
  <si>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</si>
  <si>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</si>
  <si>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</si>
  <si>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</si>
  <si>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</si>
  <si>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</si>
  <si>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</si>
  <si>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</si>
  <si>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</si>
  <si>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</si>
  <si>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</si>
  <si>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</si>
  <si>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</si>
  <si>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</si>
  <si>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</si>
  <si>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</si>
  <si>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</si>
  <si>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</si>
  <si>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</si>
  <si>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</si>
  <si>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</si>
  <si>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</si>
  <si>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</si>
  <si>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</si>
  <si>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</si>
  <si>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</si>
  <si>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</si>
  <si>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</si>
  <si>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</si>
  <si>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</si>
  <si>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</si>
  <si>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</si>
  <si>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</si>
  <si>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</si>
  <si>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</si>
  <si>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</si>
  <si>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</si>
  <si>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</si>
  <si>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</si>
  <si>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</si>
  <si>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</si>
  <si>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</si>
  <si>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</si>
  <si>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</si>
  <si>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</si>
  <si>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</si>
  <si>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</si>
  <si>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</si>
  <si>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</si>
  <si>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</si>
  <si>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</si>
  <si>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</si>
  <si>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</si>
  <si>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</si>
  <si>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</si>
  <si>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</si>
  <si>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</si>
  <si>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</si>
  <si>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</si>
  <si>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</si>
  <si>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</si>
  <si>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</si>
  <si>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</si>
  <si>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</si>
  <si>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</si>
  <si>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</si>
  <si>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</si>
  <si>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</si>
  <si>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</si>
  <si>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</si>
  <si>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</si>
  <si>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</si>
  <si>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</si>
  <si>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</si>
  <si>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</si>
  <si>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</si>
  <si>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</si>
  <si>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</si>
  <si>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</si>
  <si>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</si>
  <si>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</si>
  <si>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</si>
  <si>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</si>
  <si>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</si>
  <si>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</si>
  <si>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</si>
  <si>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</si>
  <si>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</si>
  <si>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</si>
  <si>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</si>
  <si>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</si>
  <si>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</si>
  <si>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</si>
  <si>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</si>
  <si>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</si>
  <si>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</si>
  <si>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</si>
  <si>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</si>
  <si>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</si>
  <si>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</si>
  <si>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</si>
  <si>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</si>
  <si>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</si>
  <si>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</si>
  <si>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</si>
  <si>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</si>
  <si>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</si>
  <si>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</si>
  <si>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</si>
  <si>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</si>
  <si>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</si>
  <si>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</si>
  <si>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</si>
  <si>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</si>
  <si>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</si>
  <si>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</si>
  <si>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</si>
  <si>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</si>
  <si>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</si>
  <si>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</si>
  <si>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</si>
  <si>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</si>
  <si>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</si>
  <si>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</si>
  <si>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</si>
  <si>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</si>
  <si>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</si>
  <si>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</si>
  <si>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</si>
  <si>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</si>
  <si>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</si>
  <si>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</si>
  <si>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</si>
  <si>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</si>
  <si>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</si>
  <si>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</si>
  <si>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</si>
  <si>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</si>
  <si>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</si>
  <si>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</si>
  <si>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</si>
  <si>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</si>
  <si>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</si>
  <si>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</si>
  <si>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</si>
  <si>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</si>
  <si>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</si>
  <si>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</si>
  <si>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</si>
  <si>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</si>
  <si>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</si>
  <si>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</si>
  <si>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</si>
  <si>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</si>
  <si>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</si>
  <si>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</si>
  <si>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</si>
  <si>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</si>
  <si>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</si>
  <si>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</si>
  <si>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</si>
  <si>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</si>
  <si>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</si>
  <si>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SE6_B4</t>
  </si>
  <si>
    <t xml:space="preserve">Programa Ayuda Económica para las y los Estudiantes de la Escuela Normal Rural Miguel Hidalgo 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</si>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</sst>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0568ce2a-6e52-40df-b7b7-b6e48729d2e8}" providerId="google-sheets"/>
  <x18tc:person displayName="Guillermo Amezcua Moreno" id="{52c195d9-4250-4cdc-8eeb-3f91aa8a60e0}" providerId="google-sheets"/>
  <x18tc:person displayName="Mariana Claret Gutiérrez Márquez" id="{0d2446df-4c3a-4c8d-a5d2-3b8fe4542772}" providerId="google-sheets"/>
  <x18tc:person displayName="Armando Yair Cárdenas Ávila" id="{7b76393a-e314-479a-a669-74d34632ac9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52c195d9-4250-4cdc-8eeb-3f91aa8a60e0}" id="{3831e309-e861-4d46-949f-66bb0476ad49}" done="0">
    <x18tc:text xml:space="preserve">A la espera de confirmación del nombre de la ROP, sin embargo ese es el tema de la intervención.</x18tc:text>
  </x18tc:threadedComment>
  <x18tc:threadedComment ref="H126" dT="2026-08-12T23:13:36.00" personId="{7b76393a-e314-479a-a669-74d34632ac9b}" id="{6d6ac059-2989-4293-be0e-0a709fc7f7c6}" done="0">
    <x18tc:text xml:space="preserve">Solo tiene recurso propio</x18tc:text>
  </x18tc:threadedComment>
  <x18tc:threadedComment ref="F89" dT="2026-06-25T21:11:19.00" personId="{0568ce2a-6e52-40df-b7b7-b6e48729d2e8}" id="{d286386c-ece4-4deb-8624-51a8525a0217}" done="0">
    <x18tc:text xml:space="preserve">Actalmente es un Lineamiento de Operación</x18tc:text>
  </x18tc:threadedComment>
  <x18tc:threadedComment ref="A1" dT="2026-07-06T19:50:38.00" personId="{52c195d9-4250-4cdc-8eeb-3f91aa8a60e0}" id="{893e736e-ac4f-433e-b2de-297ecf7b3a6c}" done="0">
    <x18tc:text xml:space="preserve">De momento se registra el nombre del componente; a la espera de nombre de la ROP.</x18tc:text>
  </x18tc:threadedComment>
  <x18tc:threadedComment ref="H124" dT="2026-08-12T23:13:08.00" personId="{7b76393a-e314-479a-a669-74d34632ac9b}" id="{9e644b7b-7e8f-45e1-ba7b-1f0ab862800a}" done="0">
    <x18tc:text xml:space="preserve">Tiene recurso propio</x18tc:text>
  </x18tc:threadedComment>
  <x18tc:threadedComment ref="A1" dT="2026-08-03T23:05:51.00" personId="{0d2446df-4c3a-4c8d-a5d2-3b8fe4542772}" id="{bef264f3-007a-4f69-a2c7-d91c70f6ad6a}" done="0">
    <x18tc:text xml:space="preserve">Le cambiaron la transversalidad</x18tc:text>
  </x18tc:threadedComment>
  <x18tc:threadedComment ref="F18" dT="2026-06-25T21:15:11.00" personId="{0568ce2a-6e52-40df-b7b7-b6e48729d2e8}" id="{e4325d8e-c784-4f13-b8ed-1a9b655eba57}" done="1">
    <x18tc:text xml:space="preserve">Actualmente cuenta con clasificación Programpatica  E</x18tc:text>
  </x18tc:threadedComment>
  <x18tc:threadedComment ref="F18" dT="2026-06-25T21:43:13.00" personId="{0568ce2a-6e52-40df-b7b7-b6e48729d2e8}" id="{feb3938d-12a7-445c-8ca5-4b004bde5e59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IFERROR(__xludf.DUMMYFUNCTION("TEXT(MATCH(H2,UNIQUE(FILTER($H$2:$H1068,$H$2:$H1068&lt;&gt;"""")),0),""000"")"),"001")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IFERROR(__xludf.DUMMYFUNCTION("TEXT(MATCH(H3,UNIQUE(FILTER($H$2:$H1068,$H$2:$H1068&lt;&gt;"""")),0),""000"")"),"001")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IFERROR(__xludf.DUMMYFUNCTION("TEXT(MATCH(H4,UNIQUE(FILTER($H$2:$H1068,$H$2:$H1068&lt;&gt;"""")),0),""000"")"),"001")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IFERROR(__xludf.DUMMYFUNCTION("TEXT(MATCH(H5,UNIQUE(FILTER($H$2:$H1068,$H$2:$H1068&lt;&gt;"""")),0),""000"")"),"002")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IFERROR(__xludf.DUMMYFUNCTION("TEXT(MATCH(H6,UNIQUE(FILTER($H$2:$H1068,$H$2:$H1068&lt;&gt;"""")),0),""000"")"),"003")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IFERROR(__xludf.DUMMYFUNCTION("TEXT(MATCH(H7,UNIQUE(FILTER($H$2:$H1068,$H$2:$H1068&lt;&gt;"""")),0),""000"")"),"001")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IFERROR(__xludf.DUMMYFUNCTION("TEXT(MATCH(H8,UNIQUE(FILTER($H$2:$H1068,$H$2:$H1068&lt;&gt;"""")),0),""000"")"),"004")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IFERROR(__xludf.DUMMYFUNCTION("TEXT(MATCH(H9,UNIQUE(FILTER($H$2:$H1068,$H$2:$H1068&lt;&gt;"""")),0),""000"")"),"005")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IFERROR(__xludf.DUMMYFUNCTION("TEXT(MATCH(H10,UNIQUE(FILTER($H$2:$H1068,$H$2:$H1068&lt;&gt;"""")),0),""000"")"),"006")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IFERROR(__xludf.DUMMYFUNCTION("TEXT(MATCH(H11,UNIQUE(FILTER($H$2:$H1068,$H$2:$H1068&lt;&gt;"""")),0),""000"")"),"007")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IFERROR(__xludf.DUMMYFUNCTION("TEXT(MATCH(H12,UNIQUE(FILTER($H$2:$H1068,$H$2:$H1068&lt;&gt;"""")),0),""000"")"),"008")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IFERROR(__xludf.DUMMYFUNCTION("TEXT(MATCH(H13,UNIQUE(FILTER($H$2:$H1068,$H$2:$H1068&lt;&gt;"""")),0),""000"")"),"009")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IFERROR(__xludf.DUMMYFUNCTION("TEXT(MATCH(H14,UNIQUE(FILTER($H$2:$H1068,$H$2:$H1068&lt;&gt;"""")),0),""000"")"),"010")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IFERROR(__xludf.DUMMYFUNCTION("TEXT(MATCH(H15,UNIQUE(FILTER($H$2:$H1068,$H$2:$H1068&lt;&gt;"""")),0),""000"")"),"011")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IFERROR(__xludf.DUMMYFUNCTION("TEXT(MATCH(H16,UNIQUE(FILTER($H$2:$H1068,$H$2:$H1068&lt;&gt;"""")),0),""000"")"),"012")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IFERROR(__xludf.DUMMYFUNCTION("TEXT(MATCH(H17,UNIQUE(FILTER($H$2:$H1068,$H$2:$H1068&lt;&gt;"""")),0),""000"")"),"013")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IFERROR(__xludf.DUMMYFUNCTION("TEXT(MATCH(H18,UNIQUE(FILTER($H$2:$H1068,$H$2:$H1068&lt;&gt;"""")),0),""000"")"),"014")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IFERROR(__xludf.DUMMYFUNCTION("TEXT(MATCH(H19,UNIQUE(FILTER($H$2:$H1068,$H$2:$H1068&lt;&gt;"""")),0),""000"")"),"015")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IFERROR(__xludf.DUMMYFUNCTION("TEXT(MATCH(H20,UNIQUE(FILTER($H$2:$H1068,$H$2:$H1068&lt;&gt;"""")),0),""000"")"),"016")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IFERROR(__xludf.DUMMYFUNCTION("TEXT(MATCH(H21,UNIQUE(FILTER($H$2:$H1068,$H$2:$H1068&lt;&gt;"""")),0),""000"")"),"017")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IFERROR(__xludf.DUMMYFUNCTION("TEXT(MATCH(H22,UNIQUE(FILTER($H$2:$H1068,$H$2:$H1068&lt;&gt;"""")),0),""000"")"),"018")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IFERROR(__xludf.DUMMYFUNCTION("TEXT(MATCH(H23,UNIQUE(FILTER($H$2:$H1068,$H$2:$H1068&lt;&gt;"""")),0),""000"")"),"019")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IFERROR(__xludf.DUMMYFUNCTION("TEXT(MATCH(H24,UNIQUE(FILTER($H$2:$H1068,$H$2:$H1068&lt;&gt;"""")),0),""000"")"),"020")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IFERROR(__xludf.DUMMYFUNCTION("TEXT(MATCH(H25,UNIQUE(FILTER($H$2:$H1068,$H$2:$H1068&lt;&gt;"""")),0),""000"")"),"021")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IFERROR(__xludf.DUMMYFUNCTION("TEXT(MATCH(H26,UNIQUE(FILTER($H$2:$H1068,$H$2:$H1068&lt;&gt;"""")),0),""000"")"),"022")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IFERROR(__xludf.DUMMYFUNCTION("TEXT(MATCH(H27,UNIQUE(FILTER($H$2:$H1068,$H$2:$H1068&lt;&gt;"""")),0),""000"")"),"023")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IFERROR(__xludf.DUMMYFUNCTION("TEXT(MATCH(H28,UNIQUE(FILTER($H$2:$H1068,$H$2:$H1068&lt;&gt;"""")),0),""000"")"),"024")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IFERROR(__xludf.DUMMYFUNCTION("TEXT(MATCH(H29,UNIQUE(FILTER($H$2:$H1068,$H$2:$H1068&lt;&gt;"""")),0),""000"")"),"025")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IFERROR(__xludf.DUMMYFUNCTION("TEXT(MATCH(H30,UNIQUE(FILTER($H$2:$H1068,$H$2:$H1068&lt;&gt;"""")),0),""000"")"),"026")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IFERROR(__xludf.DUMMYFUNCTION("TEXT(MATCH(H31,UNIQUE(FILTER($H$2:$H1068,$H$2:$H1068&lt;&gt;"""")),0),""000"")"),"027")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IFERROR(__xludf.DUMMYFUNCTION("TEXT(MATCH(H32,UNIQUE(FILTER($H$2:$H1068,$H$2:$H1068&lt;&gt;"""")),0),""000"")"),"028")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IFERROR(__xludf.DUMMYFUNCTION("TEXT(MATCH(H33,UNIQUE(FILTER($H$2:$H1068,$H$2:$H1068&lt;&gt;"""")),0),""000"")"),"029")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IFERROR(__xludf.DUMMYFUNCTION("TEXT(MATCH(H34,UNIQUE(FILTER($H$2:$H1068,$H$2:$H1068&lt;&gt;"""")),0),""000"")"),"030")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IFERROR(__xludf.DUMMYFUNCTION("TEXT(MATCH(H35,UNIQUE(FILTER($H$2:$H1068,$H$2:$H1068&lt;&gt;"""")),0),""000"")"),"031")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IFERROR(__xludf.DUMMYFUNCTION("TEXT(MATCH(H36,UNIQUE(FILTER($H$2:$H1068,$H$2:$H1068&lt;&gt;"""")),0),""000"")"),"031")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IFERROR(__xludf.DUMMYFUNCTION("TEXT(MATCH(H37,UNIQUE(FILTER($H$2:$H1068,$H$2:$H1068&lt;&gt;"""")),0),""000"")"),"032")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IFERROR(__xludf.DUMMYFUNCTION("TEXT(MATCH(H38,UNIQUE(FILTER($H$2:$H1068,$H$2:$H1068&lt;&gt;"""")),0),""000"")"),"033")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IFERROR(__xludf.DUMMYFUNCTION("TEXT(MATCH(H39,UNIQUE(FILTER($H$2:$H1068,$H$2:$H1068&lt;&gt;"""")),0),""000"")"),"033")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IFERROR(__xludf.DUMMYFUNCTION("TEXT(MATCH(H40,UNIQUE(FILTER($H$2:$H1068,$H$2:$H1068&lt;&gt;"""")),0),""000"")"),"034")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IFERROR(__xludf.DUMMYFUNCTION("TEXT(MATCH(H41,UNIQUE(FILTER($H$2:$H1068,$H$2:$H1068&lt;&gt;"""")),0),""000"")"),"035")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IFERROR(__xludf.DUMMYFUNCTION("TEXT(MATCH(H42,UNIQUE(FILTER($H$2:$H1068,$H$2:$H1068&lt;&gt;"""")),0),""000"")"),"036")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IFERROR(__xludf.DUMMYFUNCTION("TEXT(MATCH(H43,UNIQUE(FILTER($H$2:$H1068,$H$2:$H1068&lt;&gt;"""")),0),""000"")"),"037")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IFERROR(__xludf.DUMMYFUNCTION("TEXT(MATCH(H44,UNIQUE(FILTER($H$2:$H1068,$H$2:$H1068&lt;&gt;"""")),0),""000"")"),"037")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IFERROR(__xludf.DUMMYFUNCTION("TEXT(MATCH(H45,UNIQUE(FILTER($H$2:$H1068,$H$2:$H1068&lt;&gt;"""")),0),""000"")"),"037")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IFERROR(__xludf.DUMMYFUNCTION("TEXT(MATCH(H46,UNIQUE(FILTER($H$2:$H1068,$H$2:$H1068&lt;&gt;"""")),0),""000"")"),"038")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IFERROR(__xludf.DUMMYFUNCTION("TEXT(MATCH(H47,UNIQUE(FILTER($H$2:$H1068,$H$2:$H1068&lt;&gt;"""")),0),""000"")"),"039")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IFERROR(__xludf.DUMMYFUNCTION("TEXT(MATCH(H48,UNIQUE(FILTER($H$2:$H1068,$H$2:$H1068&lt;&gt;"""")),0),""000"")"),"040")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IFERROR(__xludf.DUMMYFUNCTION("TEXT(MATCH(H49,UNIQUE(FILTER($H$2:$H1068,$H$2:$H1068&lt;&gt;"""")),0),""000"")"),"041")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IFERROR(__xludf.DUMMYFUNCTION("TEXT(MATCH(H50,UNIQUE(FILTER($H$2:$H1068,$H$2:$H1068&lt;&gt;"""")),0),""000"")"),"042")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IFERROR(__xludf.DUMMYFUNCTION("TEXT(MATCH(H51,UNIQUE(FILTER($H$2:$H1068,$H$2:$H1068&lt;&gt;"""")),0),""000"")"),"043")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IFERROR(__xludf.DUMMYFUNCTION("TEXT(MATCH(H52,UNIQUE(FILTER($H$2:$H1068,$H$2:$H1068&lt;&gt;"""")),0),""000"")"),"044")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IFERROR(__xludf.DUMMYFUNCTION("TEXT(MATCH(H53,UNIQUE(FILTER($H$2:$H1068,$H$2:$H1068&lt;&gt;"""")),0),""000"")"),"045")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IFERROR(__xludf.DUMMYFUNCTION("TEXT(MATCH(H54,UNIQUE(FILTER($H$2:$H1068,$H$2:$H1068&lt;&gt;"""")),0),""000"")"),"046")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IFERROR(__xludf.DUMMYFUNCTION("TEXT(MATCH(H55,UNIQUE(FILTER($H$2:$H1068,$H$2:$H1068&lt;&gt;"""")),0),""000"")"),"047")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IFERROR(__xludf.DUMMYFUNCTION("TEXT(MATCH(H56,UNIQUE(FILTER($H$2:$H1068,$H$2:$H1068&lt;&gt;"""")),0),""000"")"),"048")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IFERROR(__xludf.DUMMYFUNCTION("TEXT(MATCH(H57,UNIQUE(FILTER($H$2:$H1068,$H$2:$H1068&lt;&gt;"""")),0),""000"")"),"049")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IFERROR(__xludf.DUMMYFUNCTION("TEXT(MATCH(H58,UNIQUE(FILTER($H$2:$H1068,$H$2:$H1068&lt;&gt;"""")),0),""000"")"),"050")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IFERROR(__xludf.DUMMYFUNCTION("TEXT(MATCH(H59,UNIQUE(FILTER($H$2:$H1068,$H$2:$H1068&lt;&gt;"""")),0),""000"")"),"051")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IFERROR(__xludf.DUMMYFUNCTION("TEXT(MATCH(H60,UNIQUE(FILTER($H$2:$H1068,$H$2:$H1068&lt;&gt;"""")),0),""000"")"),"052")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IFERROR(__xludf.DUMMYFUNCTION("TEXT(MATCH(H61,UNIQUE(FILTER($H$2:$H1068,$H$2:$H1068&lt;&gt;"""")),0),""000"")"),"053")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IFERROR(__xludf.DUMMYFUNCTION("TEXT(MATCH(H62,UNIQUE(FILTER($H$2:$H1068,$H$2:$H1068&lt;&gt;"""")),0),""000"")"),"054")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IFERROR(__xludf.DUMMYFUNCTION("TEXT(MATCH(H63,UNIQUE(FILTER($H$2:$H1068,$H$2:$H1068&lt;&gt;"""")),0),""000"")"),"055")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IFERROR(__xludf.DUMMYFUNCTION("TEXT(MATCH(H64,UNIQUE(FILTER($H$2:$H1068,$H$2:$H1068&lt;&gt;"""")),0),""000"")"),"056")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IFERROR(__xludf.DUMMYFUNCTION("TEXT(MATCH(H65,UNIQUE(FILTER($H$2:$H1068,$H$2:$H1068&lt;&gt;"""")),0),""000"")"),"057")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IFERROR(__xludf.DUMMYFUNCTION("TEXT(MATCH(H66,UNIQUE(FILTER($H$2:$H1068,$H$2:$H1068&lt;&gt;"""")),0),""000"")"),"058")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IFERROR(__xludf.DUMMYFUNCTION("TEXT(MATCH(H67,UNIQUE(FILTER($H$2:$H1068,$H$2:$H1068&lt;&gt;"""")),0),""000"")"),"059")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IFERROR(__xludf.DUMMYFUNCTION("TEXT(MATCH(H68,UNIQUE(FILTER($H$2:$H1068,$H$2:$H1068&lt;&gt;"""")),0),""000"")"),"060")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IFERROR(__xludf.DUMMYFUNCTION("TEXT(MATCH(H69,UNIQUE(FILTER($H$2:$H1068,$H$2:$H1068&lt;&gt;"""")),0),""000"")"),"061")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IFERROR(__xludf.DUMMYFUNCTION("TEXT(MATCH(H70,UNIQUE(FILTER($H$2:$H1068,$H$2:$H1068&lt;&gt;"""")),0),""000"")"),"062")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IFERROR(__xludf.DUMMYFUNCTION("TEXT(MATCH(H71,UNIQUE(FILTER($H$2:$H1068,$H$2:$H1068&lt;&gt;"""")),0),""000"")"),"063")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IFERROR(__xludf.DUMMYFUNCTION("TEXT(MATCH(H72,UNIQUE(FILTER($H$2:$H1068,$H$2:$H1068&lt;&gt;"""")),0),""000"")"),"064")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IFERROR(__xludf.DUMMYFUNCTION("TEXT(MATCH(H73,UNIQUE(FILTER($H$2:$H1068,$H$2:$H1068&lt;&gt;"""")),0),""000"")"),"064")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IFERROR(__xludf.DUMMYFUNCTION("TEXT(MATCH(H74,UNIQUE(FILTER($H$2:$H1068,$H$2:$H1068&lt;&gt;"""")),0),""000"")"),"064")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IFERROR(__xludf.DUMMYFUNCTION("TEXT(MATCH(H75,UNIQUE(FILTER($H$2:$H1068,$H$2:$H1068&lt;&gt;"""")),0),""000"")"),"064")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IFERROR(__xludf.DUMMYFUNCTION("TEXT(MATCH(H76,UNIQUE(FILTER($H$2:$H1068,$H$2:$H1068&lt;&gt;"""")),0),""000"")"),"064")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IFERROR(__xludf.DUMMYFUNCTION("TEXT(MATCH(H77,UNIQUE(FILTER($H$2:$H1068,$H$2:$H1068&lt;&gt;"""")),0),""000"")"),"065")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IFERROR(__xludf.DUMMYFUNCTION("TEXT(MATCH(H78,UNIQUE(FILTER($H$2:$H1068,$H$2:$H1068&lt;&gt;"""")),0),""000"")"),"066")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IFERROR(__xludf.DUMMYFUNCTION("TEXT(MATCH(H79,UNIQUE(FILTER($H$2:$H1068,$H$2:$H1068&lt;&gt;"""")),0),""000"")"),"067")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IFERROR(__xludf.DUMMYFUNCTION("TEXT(MATCH(H80,UNIQUE(FILTER($H$2:$H1068,$H$2:$H1068&lt;&gt;"""")),0),""000"")"),"068")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IFERROR(__xludf.DUMMYFUNCTION("TEXT(MATCH(H81,UNIQUE(FILTER($H$2:$H1068,$H$2:$H1068&lt;&gt;"""")),0),""000"")"),"069")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IFERROR(__xludf.DUMMYFUNCTION("TEXT(MATCH(H82,UNIQUE(FILTER($H$2:$H1068,$H$2:$H1068&lt;&gt;"""")),0),""000"")"),"070")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IFERROR(__xludf.DUMMYFUNCTION("TEXT(MATCH(H83,UNIQUE(FILTER($H$2:$H1068,$H$2:$H1068&lt;&gt;"""")),0),""000"")"),"071")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IFERROR(__xludf.DUMMYFUNCTION("TEXT(MATCH(H84,UNIQUE(FILTER($H$2:$H1068,$H$2:$H1068&lt;&gt;"""")),0),""000"")"),"072")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IFERROR(__xludf.DUMMYFUNCTION("TEXT(MATCH(H85,UNIQUE(FILTER($H$2:$H1068,$H$2:$H1068&lt;&gt;"""")),0),""000"")"),"073")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IFERROR(__xludf.DUMMYFUNCTION("TEXT(MATCH(H86,UNIQUE(FILTER($H$2:$H1068,$H$2:$H1068&lt;&gt;"""")),0),""000"")"),"074")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IFERROR(__xludf.DUMMYFUNCTION("TEXT(MATCH(H87,UNIQUE(FILTER($H$2:$H1068,$H$2:$H1068&lt;&gt;"""")),0),""000"")"),"075")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IFERROR(__xludf.DUMMYFUNCTION("TEXT(MATCH(H88,UNIQUE(FILTER($H$2:$H1068,$H$2:$H1068&lt;&gt;"""")),0),""000"")"),"075")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IFERROR(__xludf.DUMMYFUNCTION("TEXT(MATCH(H89,UNIQUE(FILTER($H$2:$H1068,$H$2:$H1068&lt;&gt;"""")),0),""000"")"),"076")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IFERROR(__xludf.DUMMYFUNCTION("TEXT(MATCH(H90,UNIQUE(FILTER($H$2:$H1068,$H$2:$H1068&lt;&gt;"""")),0),""000"")"),"077")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IFERROR(__xludf.DUMMYFUNCTION("TEXT(MATCH(H91,UNIQUE(FILTER($H$2:$H1068,$H$2:$H1068&lt;&gt;"""")),0),""000"")"),"077")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IFERROR(__xludf.DUMMYFUNCTION("TEXT(MATCH(H92,UNIQUE(FILTER($H$2:$H1068,$H$2:$H1068&lt;&gt;"""")),0),""000"")"),"078")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IFERROR(__xludf.DUMMYFUNCTION("TEXT(MATCH(H93,UNIQUE(FILTER($H$2:$H1068,$H$2:$H1068&lt;&gt;"""")),0),""000"")"),"079")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IFERROR(__xludf.DUMMYFUNCTION("TEXT(MATCH(H94,UNIQUE(FILTER($H$2:$H1068,$H$2:$H1068&lt;&gt;"""")),0),""000"")"),"080")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IFERROR(__xludf.DUMMYFUNCTION("TEXT(MATCH(H95,UNIQUE(FILTER($H$2:$H1068,$H$2:$H1068&lt;&gt;"""")),0),""000"")"),"081")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IFERROR(__xludf.DUMMYFUNCTION("TEXT(MATCH(H96,UNIQUE(FILTER($H$2:$H1068,$H$2:$H1068&lt;&gt;"""")),0),""000"")"),"082")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IFERROR(__xludf.DUMMYFUNCTION("TEXT(MATCH(H97,UNIQUE(FILTER($H$2:$H1068,$H$2:$H1068&lt;&gt;"""")),0),""000"")"),"083")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IFERROR(__xludf.DUMMYFUNCTION("TEXT(MATCH(H98,UNIQUE(FILTER($H$2:$H1068,$H$2:$H1068&lt;&gt;"""")),0),""000"")"),"084")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IFERROR(__xludf.DUMMYFUNCTION("TEXT(MATCH(H99,UNIQUE(FILTER($H$2:$H1068,$H$2:$H1068&lt;&gt;"""")),0),""000"")"),"085")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IFERROR(__xludf.DUMMYFUNCTION("TEXT(MATCH(H100,UNIQUE(FILTER($H$2:$H1068,$H$2:$H1068&lt;&gt;"""")),0),""000"")"),"086")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IFERROR(__xludf.DUMMYFUNCTION("TEXT(MATCH(H101,UNIQUE(FILTER($H$2:$H1068,$H$2:$H1068&lt;&gt;"""")),0),""000"")"),"087")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IFERROR(__xludf.DUMMYFUNCTION("TEXT(MATCH(H102,UNIQUE(FILTER($H$2:$H1068,$H$2:$H1068&lt;&gt;"""")),0),""000"")"),"088")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IFERROR(__xludf.DUMMYFUNCTION("TEXT(MATCH(H103,UNIQUE(FILTER($H$2:$H1068,$H$2:$H1068&lt;&gt;"""")),0),""000"")"),"089")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IFERROR(__xludf.DUMMYFUNCTION("TEXT(MATCH(H104,UNIQUE(FILTER($H$2:$H1068,$H$2:$H1068&lt;&gt;"""")),0),""000"")"),"090")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IFERROR(__xludf.DUMMYFUNCTION("TEXT(MATCH(H105,UNIQUE(FILTER($H$2:$H1068,$H$2:$H1068&lt;&gt;"""")),0),""000"")"),"091")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IFERROR(__xludf.DUMMYFUNCTION("TEXT(MATCH(H106,UNIQUE(FILTER($H$2:$H1068,$H$2:$H1068&lt;&gt;"""")),0),""000"")"),"092")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IFERROR(__xludf.DUMMYFUNCTION("TEXT(MATCH(H107,UNIQUE(FILTER($H$2:$H1068,$H$2:$H1068&lt;&gt;"""")),0),""000"")"),"093")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IFERROR(__xludf.DUMMYFUNCTION("TEXT(MATCH(H108,UNIQUE(FILTER($H$2:$H1068,$H$2:$H1068&lt;&gt;"""")),0),""000"")"),"094")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IFERROR(__xludf.DUMMYFUNCTION("TEXT(MATCH(H109,UNIQUE(FILTER($H$2:$H1068,$H$2:$H1068&lt;&gt;"""")),0),""000"")"),"095")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IFERROR(__xludf.DUMMYFUNCTION("TEXT(MATCH(H110,UNIQUE(FILTER($H$2:$H1068,$H$2:$H1068&lt;&gt;"""")),0),""000"")"),"096")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IFERROR(__xludf.DUMMYFUNCTION("TEXT(MATCH(H111,UNIQUE(FILTER($H$2:$H1068,$H$2:$H1068&lt;&gt;"""")),0),""000"")"),"097")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IFERROR(__xludf.DUMMYFUNCTION("TEXT(MATCH(H112,UNIQUE(FILTER($H$2:$H1068,$H$2:$H1068&lt;&gt;"""")),0),""000"")"),"098")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IFERROR(__xludf.DUMMYFUNCTION("TEXT(MATCH(H113,UNIQUE(FILTER($H$2:$H1068,$H$2:$H1068&lt;&gt;"""")),0),""000"")"),"099")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IFERROR(__xludf.DUMMYFUNCTION("TEXT(MATCH(H114,UNIQUE(FILTER($H$2:$H1068,$H$2:$H1068&lt;&gt;"""")),0),""000"")"),"100")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IFERROR(__xludf.DUMMYFUNCTION("TEXT(MATCH(H115,UNIQUE(FILTER($H$2:$H1068,$H$2:$H1068&lt;&gt;"""")),0),""000"")"),"101")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IFERROR(__xludf.DUMMYFUNCTION("TEXT(MATCH(H116,UNIQUE(FILTER($H$2:$H1068,$H$2:$H1068&lt;&gt;"""")),0),""000"")"),"102")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IFERROR(__xludf.DUMMYFUNCTION("TEXT(MATCH(H117,UNIQUE(FILTER($H$2:$H1068,$H$2:$H1068&lt;&gt;"""")),0),""000"")"),"103")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IFERROR(__xludf.DUMMYFUNCTION("TEXT(MATCH(H118,UNIQUE(FILTER($H$2:$H1068,$H$2:$H1068&lt;&gt;"""")),0),""000"")"),"104")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IFERROR(__xludf.DUMMYFUNCTION("TEXT(MATCH(H119,UNIQUE(FILTER($H$2:$H1068,$H$2:$H1068&lt;&gt;"""")),0),""000"")"),"105")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IFERROR(__xludf.DUMMYFUNCTION("TEXT(MATCH(H120,UNIQUE(FILTER($H$2:$H1068,$H$2:$H1068&lt;&gt;"""")),0),""000"")"),"106")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IFERROR(__xludf.DUMMYFUNCTION("TEXT(MATCH(H121,UNIQUE(FILTER($H$2:$H1068,$H$2:$H1068&lt;&gt;"""")),0),""000"")"),"107")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IFERROR(__xludf.DUMMYFUNCTION("TEXT(MATCH(H122,UNIQUE(FILTER($H$2:$H1068,$H$2:$H1068&lt;&gt;"""")),0),""000"")"),"108")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14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IFERROR(__xludf.DUMMYFUNCTION("TEXT(MATCH(H123,UNIQUE(FILTER($H$2:$H1068,$H$2:$H1068&lt;&gt;"""")),0),""000"")"),"109")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9" t="s">
        <v>328</v>
      </c>
      <c r="I124" s="5" t="s">
        <v>17</v>
      </c>
      <c r="J124" s="5" t="str">
        <f>IFERROR(__xludf.DUMMYFUNCTION("TEXT(MATCH(H124,UNIQUE(FILTER($H$2:$H1068,$H$2:$H1068&lt;&gt;"""")),0),""000"")"),"110")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IFERROR(__xludf.DUMMYFUNCTION("TEXT(MATCH(H125,UNIQUE(FILTER($H$2:$H1068,$H$2:$H1068&lt;&gt;"""")),0),""000"")"),"111")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25</v>
      </c>
      <c r="G126" s="5" t="s">
        <v>331</v>
      </c>
      <c r="H126" s="9" t="s">
        <v>332</v>
      </c>
      <c r="I126" s="5" t="s">
        <v>17</v>
      </c>
      <c r="J126" s="5" t="str">
        <f>IFERROR(__xludf.DUMMYFUNCTION("TEXT(MATCH(H126,UNIQUE(FILTER($H$2:$H1068,$H$2:$H1068&lt;&gt;"""")),0),""000"")"),"112")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333</v>
      </c>
      <c r="B127" s="5" t="s">
        <v>334</v>
      </c>
      <c r="C127" s="5" t="s">
        <v>12</v>
      </c>
      <c r="D127" s="5" t="s">
        <v>335</v>
      </c>
      <c r="E127" s="5" t="s">
        <v>334</v>
      </c>
      <c r="F127" s="5" t="s">
        <v>14</v>
      </c>
      <c r="G127" s="5" t="s">
        <v>336</v>
      </c>
      <c r="H127" s="5" t="s">
        <v>337</v>
      </c>
      <c r="I127" s="5" t="s">
        <v>268</v>
      </c>
      <c r="J127" s="5" t="str">
        <f>IFERROR(__xludf.DUMMYFUNCTION("TEXT(MATCH(H127,UNIQUE(FILTER($H$2:$H1068,$H$2:$H1068&lt;&gt;"""")),0),""000"")"),"113")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333</v>
      </c>
      <c r="B128" s="5" t="s">
        <v>334</v>
      </c>
      <c r="C128" s="5" t="s">
        <v>12</v>
      </c>
      <c r="D128" s="5" t="s">
        <v>335</v>
      </c>
      <c r="E128" s="5" t="s">
        <v>334</v>
      </c>
      <c r="F128" s="5" t="s">
        <v>14</v>
      </c>
      <c r="G128" s="5" t="s">
        <v>338</v>
      </c>
      <c r="H128" s="5" t="s">
        <v>339</v>
      </c>
      <c r="I128" s="5" t="s">
        <v>268</v>
      </c>
      <c r="J128" s="5" t="str">
        <f>IFERROR(__xludf.DUMMYFUNCTION("TEXT(MATCH(H128,UNIQUE(FILTER($H$2:$H1068,$H$2:$H1068&lt;&gt;"""")),0),""000"")"),"114")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333</v>
      </c>
      <c r="B129" s="5" t="s">
        <v>334</v>
      </c>
      <c r="C129" s="5" t="s">
        <v>12</v>
      </c>
      <c r="D129" s="5" t="s">
        <v>335</v>
      </c>
      <c r="E129" s="5" t="s">
        <v>334</v>
      </c>
      <c r="F129" s="5" t="s">
        <v>14</v>
      </c>
      <c r="G129" s="5" t="s">
        <v>340</v>
      </c>
      <c r="H129" s="5" t="s">
        <v>341</v>
      </c>
      <c r="I129" s="5" t="s">
        <v>268</v>
      </c>
      <c r="J129" s="5" t="str">
        <f>IFERROR(__xludf.DUMMYFUNCTION("TEXT(MATCH(H129,UNIQUE(FILTER($H$2:$H1068,$H$2:$H1068&lt;&gt;"""")),0),""000"")"),"115")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333</v>
      </c>
      <c r="B130" s="5" t="s">
        <v>334</v>
      </c>
      <c r="C130" s="5" t="s">
        <v>12</v>
      </c>
      <c r="D130" s="5" t="s">
        <v>335</v>
      </c>
      <c r="E130" s="5" t="s">
        <v>334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IFERROR(__xludf.DUMMYFUNCTION("TEXT(MATCH(H130,UNIQUE(FILTER($H$2:$H1068,$H$2:$H1068&lt;&gt;"""")),0),""000"")"),"116")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344</v>
      </c>
      <c r="B131" s="5" t="s">
        <v>345</v>
      </c>
      <c r="C131" s="5" t="s">
        <v>12</v>
      </c>
      <c r="D131" s="5" t="s">
        <v>346</v>
      </c>
      <c r="E131" s="5" t="s">
        <v>347</v>
      </c>
      <c r="F131" s="5" t="s">
        <v>14</v>
      </c>
      <c r="G131" s="5" t="s">
        <v>348</v>
      </c>
      <c r="H131" s="5" t="s">
        <v>349</v>
      </c>
      <c r="I131" s="5" t="s">
        <v>268</v>
      </c>
      <c r="J131" s="5" t="str">
        <f>IFERROR(__xludf.DUMMYFUNCTION("TEXT(MATCH(H131,UNIQUE(FILTER($H$2:$H1068,$H$2:$H1068&lt;&gt;"""")),0),""000"")"),"117")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344</v>
      </c>
      <c r="B132" s="5" t="s">
        <v>345</v>
      </c>
      <c r="C132" s="5" t="s">
        <v>12</v>
      </c>
      <c r="D132" s="5" t="s">
        <v>346</v>
      </c>
      <c r="E132" s="5" t="s">
        <v>347</v>
      </c>
      <c r="F132" s="5" t="s">
        <v>14</v>
      </c>
      <c r="G132" s="5" t="s">
        <v>350</v>
      </c>
      <c r="H132" s="5" t="s">
        <v>349</v>
      </c>
      <c r="I132" s="5" t="s">
        <v>268</v>
      </c>
      <c r="J132" s="5" t="str">
        <f>IFERROR(__xludf.DUMMYFUNCTION("TEXT(MATCH(H132,UNIQUE(FILTER($H$2:$H1068,$H$2:$H1068&lt;&gt;"""")),0),""000"")"),"117")</f>
        <v>117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344</v>
      </c>
      <c r="B133" s="5" t="s">
        <v>345</v>
      </c>
      <c r="C133" s="5" t="s">
        <v>12</v>
      </c>
      <c r="D133" s="5" t="s">
        <v>346</v>
      </c>
      <c r="E133" s="5" t="s">
        <v>347</v>
      </c>
      <c r="F133" s="5" t="s">
        <v>14</v>
      </c>
      <c r="G133" s="5" t="s">
        <v>351</v>
      </c>
      <c r="H133" s="5" t="s">
        <v>352</v>
      </c>
      <c r="I133" s="5" t="s">
        <v>268</v>
      </c>
      <c r="J133" s="5" t="str">
        <f>IFERROR(__xludf.DUMMYFUNCTION("TEXT(MATCH(H133,UNIQUE(FILTER($H$2:$H1068,$H$2:$H1068&lt;&gt;"""")),0),""000"")"),"118")</f>
        <v>118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344</v>
      </c>
      <c r="B134" s="5" t="s">
        <v>345</v>
      </c>
      <c r="C134" s="5" t="s">
        <v>12</v>
      </c>
      <c r="D134" s="5" t="s">
        <v>346</v>
      </c>
      <c r="E134" s="5" t="s">
        <v>347</v>
      </c>
      <c r="F134" s="5" t="s">
        <v>14</v>
      </c>
      <c r="G134" s="5" t="s">
        <v>353</v>
      </c>
      <c r="H134" s="5" t="s">
        <v>352</v>
      </c>
      <c r="I134" s="5" t="s">
        <v>268</v>
      </c>
      <c r="J134" s="5" t="str">
        <f>IFERROR(__xludf.DUMMYFUNCTION("TEXT(MATCH(H134,UNIQUE(FILTER($H$2:$H1068,$H$2:$H1068&lt;&gt;"""")),0),""000"")"),"118")</f>
        <v>118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344</v>
      </c>
      <c r="B135" s="5" t="s">
        <v>345</v>
      </c>
      <c r="C135" s="5" t="s">
        <v>12</v>
      </c>
      <c r="D135" s="5" t="s">
        <v>346</v>
      </c>
      <c r="E135" s="5" t="s">
        <v>347</v>
      </c>
      <c r="F135" s="5" t="s">
        <v>14</v>
      </c>
      <c r="G135" s="5" t="s">
        <v>354</v>
      </c>
      <c r="H135" s="5" t="s">
        <v>352</v>
      </c>
      <c r="I135" s="5" t="s">
        <v>268</v>
      </c>
      <c r="J135" s="5" t="str">
        <f>IFERROR(__xludf.DUMMYFUNCTION("TEXT(MATCH(H135,UNIQUE(FILTER($H$2:$H1068,$H$2:$H1068&lt;&gt;"""")),0),""000"")"),"118")</f>
        <v>118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344</v>
      </c>
      <c r="B136" s="5" t="s">
        <v>345</v>
      </c>
      <c r="C136" s="5" t="s">
        <v>12</v>
      </c>
      <c r="D136" s="5" t="s">
        <v>346</v>
      </c>
      <c r="E136" s="5" t="s">
        <v>347</v>
      </c>
      <c r="F136" s="5" t="s">
        <v>14</v>
      </c>
      <c r="G136" s="5" t="s">
        <v>355</v>
      </c>
      <c r="H136" s="5" t="s">
        <v>356</v>
      </c>
      <c r="I136" s="5" t="s">
        <v>268</v>
      </c>
      <c r="J136" s="5" t="str">
        <f>IFERROR(__xludf.DUMMYFUNCTION("TEXT(MATCH(H136,UNIQUE(FILTER($H$2:$H1068,$H$2:$H1068&lt;&gt;"""")),0),""000"")"),"119")</f>
        <v>119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344</v>
      </c>
      <c r="B137" s="5" t="s">
        <v>345</v>
      </c>
      <c r="C137" s="5" t="s">
        <v>12</v>
      </c>
      <c r="D137" s="5" t="s">
        <v>346</v>
      </c>
      <c r="E137" s="5" t="s">
        <v>347</v>
      </c>
      <c r="F137" s="5" t="s">
        <v>14</v>
      </c>
      <c r="G137" s="5" t="s">
        <v>357</v>
      </c>
      <c r="H137" s="5" t="s">
        <v>358</v>
      </c>
      <c r="I137" s="5" t="s">
        <v>268</v>
      </c>
      <c r="J137" s="5" t="str">
        <f>IFERROR(__xludf.DUMMYFUNCTION("TEXT(MATCH(H137,UNIQUE(FILTER($H$2:$H1068,$H$2:$H1068&lt;&gt;"""")),0),""000"")"),"120")</f>
        <v>120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344</v>
      </c>
      <c r="B138" s="5" t="s">
        <v>345</v>
      </c>
      <c r="C138" s="5" t="s">
        <v>12</v>
      </c>
      <c r="D138" s="5" t="s">
        <v>346</v>
      </c>
      <c r="E138" s="5" t="s">
        <v>347</v>
      </c>
      <c r="F138" s="5" t="s">
        <v>14</v>
      </c>
      <c r="G138" s="5" t="s">
        <v>359</v>
      </c>
      <c r="H138" s="5" t="s">
        <v>356</v>
      </c>
      <c r="I138" s="5" t="s">
        <v>268</v>
      </c>
      <c r="J138" s="5" t="str">
        <f>IFERROR(__xludf.DUMMYFUNCTION("TEXT(MATCH(H138,UNIQUE(FILTER($H$2:$H1068,$H$2:$H1068&lt;&gt;"""")),0),""000"")"),"119")</f>
        <v>119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344</v>
      </c>
      <c r="B139" s="5" t="s">
        <v>345</v>
      </c>
      <c r="C139" s="5" t="s">
        <v>12</v>
      </c>
      <c r="D139" s="5" t="s">
        <v>346</v>
      </c>
      <c r="E139" s="5" t="s">
        <v>347</v>
      </c>
      <c r="F139" s="5" t="s">
        <v>14</v>
      </c>
      <c r="G139" s="5" t="s">
        <v>360</v>
      </c>
      <c r="H139" s="5" t="s">
        <v>356</v>
      </c>
      <c r="I139" s="5" t="s">
        <v>268</v>
      </c>
      <c r="J139" s="5" t="str">
        <f>IFERROR(__xludf.DUMMYFUNCTION("TEXT(MATCH(H139,UNIQUE(FILTER($H$2:$H1068,$H$2:$H1068&lt;&gt;"""")),0),""000"")"),"119")</f>
        <v>119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/>
      <c r="B140" s="6"/>
      <c r="C140" s="6"/>
      <c r="D140" s="6"/>
      <c r="E140" s="6"/>
      <c r="F140" s="6"/>
      <c r="G140" s="6"/>
      <c r="H140" s="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/>
      <c r="B141" s="6"/>
      <c r="C141" s="6"/>
      <c r="D141" s="6"/>
      <c r="E141" s="6"/>
      <c r="F141" s="6"/>
      <c r="G141" s="6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/>
      <c r="B142" s="6"/>
      <c r="C142" s="6"/>
      <c r="D142" s="6"/>
      <c r="E142" s="6"/>
      <c r="F142" s="6"/>
      <c r="G142" s="6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/>
      <c r="B143" s="6"/>
      <c r="C143" s="6"/>
      <c r="D143" s="6"/>
      <c r="E143" s="6"/>
      <c r="F143" s="6"/>
      <c r="G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/>
      <c r="B144" s="6"/>
      <c r="C144" s="6"/>
      <c r="D144" s="6"/>
      <c r="E144" s="6"/>
      <c r="F144" s="6"/>
      <c r="G144" s="6"/>
      <c r="H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/>
      <c r="B145" s="6"/>
      <c r="C145" s="6"/>
      <c r="D145" s="6"/>
      <c r="E145" s="6"/>
      <c r="F145" s="6"/>
      <c r="G145" s="6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/>
      <c r="B146" s="6"/>
      <c r="C146" s="6"/>
      <c r="D146" s="6"/>
      <c r="E146" s="6"/>
      <c r="F146" s="6"/>
      <c r="G146" s="6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/>
      <c r="B147" s="6"/>
      <c r="C147" s="6"/>
      <c r="D147" s="6"/>
      <c r="E147" s="6"/>
      <c r="F147" s="6"/>
      <c r="G147" s="6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/>
      <c r="B148" s="6"/>
      <c r="C148" s="6"/>
      <c r="D148" s="6"/>
      <c r="E148" s="6"/>
      <c r="F148" s="6"/>
      <c r="G148" s="6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/>
      <c r="B149" s="6"/>
      <c r="C149" s="6"/>
      <c r="D149" s="6"/>
      <c r="E149" s="6"/>
      <c r="F149" s="6"/>
      <c r="G149" s="6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/>
      <c r="B150" s="6"/>
      <c r="C150" s="6"/>
      <c r="D150" s="6"/>
      <c r="E150" s="6"/>
      <c r="F150" s="6"/>
      <c r="G150" s="6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10"/>
      <c r="B171" s="10"/>
      <c r="C171" s="10"/>
      <c r="D171" s="10"/>
      <c r="E171" s="10"/>
      <c r="F171" s="10"/>
      <c r="G171" s="10"/>
      <c r="H171" s="10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10"/>
      <c r="B172" s="10"/>
      <c r="C172" s="10"/>
      <c r="D172" s="10"/>
      <c r="E172" s="10"/>
      <c r="F172" s="10"/>
      <c r="G172" s="10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10"/>
      <c r="B173" s="10"/>
      <c r="C173" s="10"/>
      <c r="D173" s="10"/>
      <c r="E173" s="10"/>
      <c r="F173" s="10"/>
      <c r="G173" s="10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10"/>
      <c r="B174" s="10"/>
      <c r="C174" s="10"/>
      <c r="D174" s="10"/>
      <c r="E174" s="10"/>
      <c r="F174" s="10"/>
      <c r="G174" s="10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10"/>
      <c r="B175" s="10"/>
      <c r="C175" s="10"/>
      <c r="D175" s="10"/>
      <c r="E175" s="10"/>
      <c r="F175" s="10"/>
      <c r="G175" s="10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10"/>
      <c r="B176" s="10"/>
      <c r="C176" s="10"/>
      <c r="D176" s="10"/>
      <c r="E176" s="10"/>
      <c r="F176" s="10"/>
      <c r="G176" s="10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10"/>
      <c r="B177" s="10"/>
      <c r="C177" s="10"/>
      <c r="D177" s="10"/>
      <c r="E177" s="10"/>
      <c r="F177" s="10"/>
      <c r="G177" s="10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10"/>
      <c r="B178" s="10"/>
      <c r="C178" s="10"/>
      <c r="D178" s="10"/>
      <c r="E178" s="10"/>
      <c r="F178" s="10"/>
      <c r="G178" s="10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10"/>
      <c r="B179" s="10"/>
      <c r="C179" s="10"/>
      <c r="D179" s="10"/>
      <c r="E179" s="10"/>
      <c r="F179" s="10"/>
      <c r="G179" s="10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10"/>
      <c r="B180" s="10"/>
      <c r="C180" s="10"/>
      <c r="D180" s="10"/>
      <c r="E180" s="10"/>
      <c r="F180" s="10"/>
      <c r="G180" s="10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10"/>
      <c r="B181" s="10"/>
      <c r="C181" s="10"/>
      <c r="D181" s="10"/>
      <c r="E181" s="10"/>
      <c r="F181" s="10"/>
      <c r="G181" s="10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0"/>
      <c r="B182" s="10"/>
      <c r="C182" s="10"/>
      <c r="D182" s="10"/>
      <c r="E182" s="10"/>
      <c r="F182" s="10"/>
      <c r="G182" s="10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</sheetData>
  <drawing r:id="rId4"/>
  <legacyDrawing r:id="rId5"/>
</worksheet>
</file>