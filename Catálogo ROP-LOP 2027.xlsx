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Tabla dinámica 2" sheetId="2" r:id="rId6"/>
  </sheets>
  <definedNames>
    <definedName hidden="1" localSheetId="0" name="_xlnm._FilterDatabase">'Hoja 1'!$A$1:$K$136</definedName>
  </definedNames>
  <calcPr/>
  <pivotCaches>
    <pivotCache cacheId="0" r:id="rId7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tc={5298d5ab-eb5a-40c5-a769-325a49962664}</author>
    <author>tc={57366feb-1f43-4800-9540-a1243fb02836}</author>
    <author>tc={7bd4eed0-cf44-4594-bfa5-0a45225cbe5d}</author>
    <author>tc={9a62354d-f2a3-4594-b6b3-01b8d11f20f1}</author>
    <author>tc={a204895e-58cf-4d20-af7f-93bb9067096f}</author>
    <author>tc={a94b4d88-de05-4cad-88dc-c7ff14a36a20}</author>
    <author>tc={b31cd7ed-42a8-45af-acfe-c2ec20c8a2b6}</author>
    <author>tc={b47461d1-de0e-47d4-b614-4d8bb7e9ec82}</author>
    <author>tc={cc49baf0-5f50-4e72-880a-13eb15cdcc18}</author>
    <author>tc={df2ba1e2-2b7d-45cd-9d5b-74290b0746d2}</author>
    <author>tc={ff932e4d-2f32-4ebb-bd88-696a66e50400}</author>
  </authors>
  <commentList>
    <comment authorId="0" xr:uid="{5298d5ab-eb5a-40c5-a769-325a49962664}" ref="F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Actualmente cuenta con clasificación Programpatica  E
</t>
      </text>
    </comment>
    <comment authorId="1" xr:uid="{57366feb-1f43-4800-9540-a1243fb0283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 momento se registra el nombre del componente; a la espera de nombre de la ROP.
</t>
      </text>
    </comment>
    <comment authorId="2" xr:uid="{7bd4eed0-cf44-4594-bfa5-0a45225cbe5d}" ref="I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la espera de confirmación del nombre de la ROP, sin embargo ese es el tema de la intervención.
</t>
      </text>
    </comment>
    <comment authorId="3" xr:uid="{9a62354d-f2a3-4594-b6b3-01b8d11f20f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 cambiaron la transversalidad
</t>
      </text>
    </comment>
    <comment authorId="4" xr:uid="{a204895e-58cf-4d20-af7f-93bb9067096f}" ref="H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Componente anterior (cambió de transversalidad)
</t>
      </text>
    </comment>
    <comment authorId="5" xr:uid="{a94b4d88-de05-4cad-88dc-c7ff14a36a20}" ref="F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Actualmente cuenta con una clasificación programática con letra E
</t>
      </text>
    </comment>
    <comment authorId="6" xr:uid="{b31cd7ed-42a8-45af-acfe-c2ec20c8a2b6}" ref="I1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recurso propio
</t>
      </text>
    </comment>
    <comment authorId="7" xr:uid="{b47461d1-de0e-47d4-b614-4d8bb7e9ec82}" ref="H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eliminó componente.
</t>
      </text>
    </comment>
    <comment authorId="8" xr:uid="{cc49baf0-5f50-4e72-880a-13eb15cdcc18}" ref="F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Actalmente es un Lineamiento de Operación
</t>
      </text>
    </comment>
    <comment authorId="9" xr:uid="{df2ba1e2-2b7d-45cd-9d5b-74290b0746d2}" ref="I1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Solo tiene recurso propio
</t>
      </text>
    </comment>
    <comment authorId="10" xr:uid="{ff932e4d-2f32-4ebb-bd88-696a66e50400}" ref="H1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Componente anterior (cambió de transversalidad)
</t>
      </text>
    </comment>
  </commentList>
</comments>
</file>

<file path=xl/sharedStrings.xml><?xml version="1.0" encoding="utf-8"?>
<sst xmlns="http://schemas.openxmlformats.org/spreadsheetml/2006/main" count="1970" uniqueCount="444">
  <si>
    <t>UP</t>
  </si>
  <si>
    <t>DEPENDENCIA</t>
  </si>
  <si>
    <t>UR</t>
  </si>
  <si>
    <t>Llave UP_UR</t>
  </si>
  <si>
    <t>UNIDAD RESPONSABLE</t>
  </si>
  <si>
    <t>AR</t>
  </si>
  <si>
    <t>RoL</t>
  </si>
  <si>
    <t>Llave Componente</t>
  </si>
  <si>
    <t>ROP_LOP Asignada</t>
  </si>
  <si>
    <t>Estatal / Federal</t>
  </si>
  <si>
    <t>Clave ROP_LOP</t>
  </si>
  <si>
    <t xml:space="preserve"> </t>
  </si>
  <si>
    <t>02</t>
  </si>
  <si>
    <t>Secretaría General de Gobierno</t>
  </si>
  <si>
    <t>000</t>
  </si>
  <si>
    <t>02_000</t>
  </si>
  <si>
    <t>S</t>
  </si>
  <si>
    <t>SG1_C2</t>
  </si>
  <si>
    <t>Programa de Atención a Jaliciences en Contexto de Movilidad Humana</t>
  </si>
  <si>
    <t>Estatal</t>
  </si>
  <si>
    <t>SG1_C3</t>
  </si>
  <si>
    <t>SG1_C4</t>
  </si>
  <si>
    <t>SG1_C7</t>
  </si>
  <si>
    <t>Programa REINA Red de Especialización Integral de Nuevos Artistas, 2026</t>
  </si>
  <si>
    <t>SG1_CD</t>
  </si>
  <si>
    <t>Programa Becas Universitarias Al Estilo Jalisco</t>
  </si>
  <si>
    <t>001</t>
  </si>
  <si>
    <t>ROP</t>
  </si>
  <si>
    <t>002</t>
  </si>
  <si>
    <t>003</t>
  </si>
  <si>
    <t>004</t>
  </si>
  <si>
    <t>LOP</t>
  </si>
  <si>
    <t>Programa por la Inclusión de Personas con Discapacidad</t>
  </si>
  <si>
    <t>SG1_CH</t>
  </si>
  <si>
    <t>005</t>
  </si>
  <si>
    <t>Apoyos a OSC para apoyo a la población de diversidad sexual</t>
  </si>
  <si>
    <t>006</t>
  </si>
  <si>
    <t>Atención y Oportunidades para las Juventudes No dejar a nadie atrás</t>
  </si>
  <si>
    <t>007</t>
  </si>
  <si>
    <t>U</t>
  </si>
  <si>
    <t>Programa Red de enlaces regionales del Mecanismo de Atención a Víctimas de Discriminación MAViD MAViDmun</t>
  </si>
  <si>
    <t>SG1_C1</t>
  </si>
  <si>
    <t>172</t>
  </si>
  <si>
    <t>Comisión Estatal Indígena</t>
  </si>
  <si>
    <t>008</t>
  </si>
  <si>
    <t xml:space="preserve"> Apoyos económicos para los pueblos y comunidades indígenas</t>
  </si>
  <si>
    <t>009</t>
  </si>
  <si>
    <t>Becas por la Interculturalidad para estudiantes indígenas del nivel medio superior y superior</t>
  </si>
  <si>
    <t>801</t>
  </si>
  <si>
    <t>Comisión para la Búsqueda de Personas</t>
  </si>
  <si>
    <t>010</t>
  </si>
  <si>
    <t xml:space="preserve">Programa de Apoyo a Familiares de Personas Desaparecidas en el Estado de Jalisco </t>
  </si>
  <si>
    <t>03</t>
  </si>
  <si>
    <t xml:space="preserve">Secretaría de Hacienda </t>
  </si>
  <si>
    <t>SG1_C6</t>
  </si>
  <si>
    <t>729</t>
  </si>
  <si>
    <t>Fideicomiso de Administración para la mejora de la Seguridad Vial</t>
  </si>
  <si>
    <t>011</t>
  </si>
  <si>
    <t>Renovación parque vehicular transporte público</t>
  </si>
  <si>
    <t>012</t>
  </si>
  <si>
    <t>Reducción de la tarifa del transporte público para las personas usuarias</t>
  </si>
  <si>
    <t>04</t>
  </si>
  <si>
    <t xml:space="preserve">Secretaría de Educación </t>
  </si>
  <si>
    <t>097</t>
  </si>
  <si>
    <t xml:space="preserve">Programa Ayuda Económica para NIñas del Internado Beatriz Hernández </t>
  </si>
  <si>
    <t>SG1_CA</t>
  </si>
  <si>
    <t>098</t>
  </si>
  <si>
    <t xml:space="preserve">Becas Jalisco Contigo </t>
  </si>
  <si>
    <t>099</t>
  </si>
  <si>
    <t xml:space="preserve">Becas Talento </t>
  </si>
  <si>
    <t>100</t>
  </si>
  <si>
    <t xml:space="preserve">Programa Ayuda Económica para las y los Estudiantes de la Escuela Normal Rural Miguel Hidalgo </t>
  </si>
  <si>
    <t>07</t>
  </si>
  <si>
    <t>SG1_C5</t>
  </si>
  <si>
    <t>Secretaría de Desarrollo Económico</t>
  </si>
  <si>
    <t>013</t>
  </si>
  <si>
    <t>Jalisco Atrae</t>
  </si>
  <si>
    <t>014</t>
  </si>
  <si>
    <t>Artesanías Jalisco Más</t>
  </si>
  <si>
    <t>015</t>
  </si>
  <si>
    <t>Impulso Mipymes Jalisco</t>
  </si>
  <si>
    <t>02_172</t>
  </si>
  <si>
    <t>244</t>
  </si>
  <si>
    <t>Fondo Impulso Jalisco</t>
  </si>
  <si>
    <t>016</t>
  </si>
  <si>
    <t>Impulso a la Competitividad, Talento y Vinculación al estilo Jalisco</t>
  </si>
  <si>
    <t>SJ7_C1</t>
  </si>
  <si>
    <t>017</t>
  </si>
  <si>
    <t>Crecer al Estilo Jalisco mediante la generación de Empleo y Talento</t>
  </si>
  <si>
    <t>08</t>
  </si>
  <si>
    <t>Secretaría de Turismo</t>
  </si>
  <si>
    <t>018</t>
  </si>
  <si>
    <t>Programa para Desarrollo de productos y experiencias turísticas en el Estado de Jalisco</t>
  </si>
  <si>
    <t>019</t>
  </si>
  <si>
    <t>Programa de apoyo a Producciones fílmicas y audiovisuales en el Estado de Jalisco</t>
  </si>
  <si>
    <t>09</t>
  </si>
  <si>
    <t>Secretaría de Agricultura y Desarrollo Rural</t>
  </si>
  <si>
    <t>020</t>
  </si>
  <si>
    <t>SJ7_C2</t>
  </si>
  <si>
    <t>Impulso Agro Jalisco. Producción y Tecnología</t>
  </si>
  <si>
    <t>021</t>
  </si>
  <si>
    <t>Jalisco Agrosustentable</t>
  </si>
  <si>
    <t>022</t>
  </si>
  <si>
    <t>Eficiencia verde cañera</t>
  </si>
  <si>
    <t>023</t>
  </si>
  <si>
    <t>Proyectos Estratégicos Agropecuarios, Pesqueros y Acuícolas al estilo Jalisco</t>
  </si>
  <si>
    <t>02_801</t>
  </si>
  <si>
    <t>024</t>
  </si>
  <si>
    <t>Proyectos Estratégicos Agroalimentarios.</t>
  </si>
  <si>
    <t>SBP_GA</t>
  </si>
  <si>
    <t>025</t>
  </si>
  <si>
    <t>Empedrados al estilo Jalisco</t>
  </si>
  <si>
    <t>026</t>
  </si>
  <si>
    <t>Fondo Jalisco para Contingencias Agroalimentarias</t>
  </si>
  <si>
    <t>027</t>
  </si>
  <si>
    <t>Apoyo a Cooperativas de la Laguna de Cajititlán</t>
  </si>
  <si>
    <t>028</t>
  </si>
  <si>
    <t>Fortalecimiento de Casas Ejidales</t>
  </si>
  <si>
    <t>03_729</t>
  </si>
  <si>
    <t>029</t>
  </si>
  <si>
    <t>Agroinnovadoras y Jóvenes del campo de Jalisco</t>
  </si>
  <si>
    <t>190</t>
  </si>
  <si>
    <t>ST4_D1</t>
  </si>
  <si>
    <t>Fideicomiso para Coberturas de Precios de Maíz</t>
  </si>
  <si>
    <t>030</t>
  </si>
  <si>
    <t>Fideicomiso para Coberturas de Precios de Maíz (LOP)</t>
  </si>
  <si>
    <t>225</t>
  </si>
  <si>
    <t>Agencia Estatal de Sanidad, Inocuidad y Calidad Agroalimentaria en Jalisco</t>
  </si>
  <si>
    <t>031</t>
  </si>
  <si>
    <t>Programa de Apoyo para el Fortalecimiento de la Inocuidad en Rastros en el Estado de Jalisco</t>
  </si>
  <si>
    <t>032</t>
  </si>
  <si>
    <t>Programa de Eliminación de Animales Positivos, Reactores, Expuestos y Sospechosos</t>
  </si>
  <si>
    <t>033</t>
  </si>
  <si>
    <t>Programa de Apoyo para la Prevención y Control del Gusano Barrenador del Ganado en el Estado de Jalisco</t>
  </si>
  <si>
    <t>10</t>
  </si>
  <si>
    <t xml:space="preserve">Secretaría de Medio Ambiente y Desarrollo Territorial </t>
  </si>
  <si>
    <t>042</t>
  </si>
  <si>
    <t xml:space="preserve">O.P.D. Bosque la Primavera </t>
  </si>
  <si>
    <t>ST4_D2</t>
  </si>
  <si>
    <t>034</t>
  </si>
  <si>
    <t>Administración y Manejo del Área de Protección de Flora y Fauna La Primavera</t>
  </si>
  <si>
    <t>043</t>
  </si>
  <si>
    <t>Fideicomiso para la Administración del Programa de Desarrollo Forestal del Estado de Jalisco (FIPRODEFO)</t>
  </si>
  <si>
    <t>035</t>
  </si>
  <si>
    <t>Programa para el Desarrollo Forestal Sustentable del Estado de Jalisco</t>
  </si>
  <si>
    <t>11</t>
  </si>
  <si>
    <t>Secretaría del Sistema de Asistencia Social</t>
  </si>
  <si>
    <t>036</t>
  </si>
  <si>
    <t xml:space="preserve">Yo Jalisco Apoyo para la Salud Mental </t>
  </si>
  <si>
    <t>037</t>
  </si>
  <si>
    <t>07_000</t>
  </si>
  <si>
    <t>Yo Jalisco, Apoyo al Transporte</t>
  </si>
  <si>
    <t>S70_D1</t>
  </si>
  <si>
    <t>038</t>
  </si>
  <si>
    <t>Yo Jalisco Apoyo a Personas Cuidadoras y Personas Dependientes de Cuidados</t>
  </si>
  <si>
    <t>039</t>
  </si>
  <si>
    <t>Yo Jalisco Apoyo para el Cuidado Infantil</t>
  </si>
  <si>
    <t>040</t>
  </si>
  <si>
    <t>Yo Jalisco, Apoyo a Instituciones de Cuidado Infantil</t>
  </si>
  <si>
    <t>041</t>
  </si>
  <si>
    <t xml:space="preserve">Yo Jalisco Apoyo a Jefas de Jalisco </t>
  </si>
  <si>
    <t>S71_C1</t>
  </si>
  <si>
    <t xml:space="preserve">Listo Jalisco </t>
  </si>
  <si>
    <t xml:space="preserve">Yo Jalisco Apoyo a Asociaciones Civiles </t>
  </si>
  <si>
    <t>044</t>
  </si>
  <si>
    <t>Yo Jalisco, Apoyo a Nuestras Comunidades</t>
  </si>
  <si>
    <t>045</t>
  </si>
  <si>
    <t>Yo Jalisco, Apoyo al Desarrollo Social</t>
  </si>
  <si>
    <t>S72_B1</t>
  </si>
  <si>
    <t>046</t>
  </si>
  <si>
    <t>Enchulemos Jalisco</t>
  </si>
  <si>
    <t>047</t>
  </si>
  <si>
    <t>Yo Jalisco Transporte a Grupos Prioritarios</t>
  </si>
  <si>
    <t>048</t>
  </si>
  <si>
    <t>Yo Jalisco, Apoyo para nuestra gente</t>
  </si>
  <si>
    <t>12</t>
  </si>
  <si>
    <t>Secretaría de Innovación, Ciencia y Tecnológia</t>
  </si>
  <si>
    <t>07_244</t>
  </si>
  <si>
    <t>049</t>
  </si>
  <si>
    <t>Fortalecimiento de ecosistemas regionales a través de la innovación y emprendimiento</t>
  </si>
  <si>
    <t>S7F_C1</t>
  </si>
  <si>
    <t>050</t>
  </si>
  <si>
    <t>Fortalecimiento de la Cultura de Innovación, Ciencia y Tecnología</t>
  </si>
  <si>
    <t>051</t>
  </si>
  <si>
    <t>Apoyos de Educación Superior para Jóvenes LEGADO</t>
  </si>
  <si>
    <t>052</t>
  </si>
  <si>
    <t>Impulso y Fortalecimiento a la Educación Superior</t>
  </si>
  <si>
    <t>067</t>
  </si>
  <si>
    <t>S7F_C2</t>
  </si>
  <si>
    <t>Consejo Estatal de Ciencia y Tecnología del Estado de Jalisco</t>
  </si>
  <si>
    <t>053</t>
  </si>
  <si>
    <t>Gestión de fondos y programas de apoyo a la Ciencia, Tecnología e Innovación</t>
  </si>
  <si>
    <t>202</t>
  </si>
  <si>
    <t>Agencia para el Desarrollo de Industrias Creativas y Digitales del Estado de Jalisco</t>
  </si>
  <si>
    <t>054</t>
  </si>
  <si>
    <t>Fondo para Proyectos de Alto Impacto a la Industria Creativa Digital</t>
  </si>
  <si>
    <t>055</t>
  </si>
  <si>
    <t>Fondo Jalisco Creativo</t>
  </si>
  <si>
    <t>13</t>
  </si>
  <si>
    <t>Secretaría de Cultura</t>
  </si>
  <si>
    <t>08_000</t>
  </si>
  <si>
    <t>Secretaría de cultura</t>
  </si>
  <si>
    <t>056</t>
  </si>
  <si>
    <t>Fondo Talleres en Casas de la Cultura</t>
  </si>
  <si>
    <t>S81_03</t>
  </si>
  <si>
    <t>057</t>
  </si>
  <si>
    <t>Fondo Jalisco de Animación Cultural</t>
  </si>
  <si>
    <t>058</t>
  </si>
  <si>
    <t>Programa de Apoyo a las Cultura Municipales y Comunitarias (PACMYC)</t>
  </si>
  <si>
    <t>059</t>
  </si>
  <si>
    <t>Programa de Estímulo a la Creación y al Desarrollo Artístico (PECDA)</t>
  </si>
  <si>
    <t>S81_06</t>
  </si>
  <si>
    <t>060</t>
  </si>
  <si>
    <t>Proyecta Producción</t>
  </si>
  <si>
    <t>061</t>
  </si>
  <si>
    <t>Proyecta Traslados</t>
  </si>
  <si>
    <t>062</t>
  </si>
  <si>
    <t>Programa de Fomento Editorial</t>
  </si>
  <si>
    <t>063</t>
  </si>
  <si>
    <t>09_000</t>
  </si>
  <si>
    <t>Habita la Escena</t>
  </si>
  <si>
    <t>083</t>
  </si>
  <si>
    <t>S91_D8</t>
  </si>
  <si>
    <t>Fideicomiso Fondo Estatal para la Cultura y las Artes FEFCA</t>
  </si>
  <si>
    <t>064</t>
  </si>
  <si>
    <t>Programa ECOS, Música para la Paz</t>
  </si>
  <si>
    <t>14</t>
  </si>
  <si>
    <t>Secretaría de Trabajo y Previsión Social</t>
  </si>
  <si>
    <t xml:space="preserve">Secretaría de Trabajo y Previsión Social </t>
  </si>
  <si>
    <t>101</t>
  </si>
  <si>
    <t xml:space="preserve">Empleo Temporal al Estilo Jalisco  </t>
  </si>
  <si>
    <t>102</t>
  </si>
  <si>
    <t xml:space="preserve">Jale seguro al estilo Jalisco </t>
  </si>
  <si>
    <t>103</t>
  </si>
  <si>
    <t xml:space="preserve">Programa Apoyo al Empleo </t>
  </si>
  <si>
    <t>15</t>
  </si>
  <si>
    <t>S92_D1</t>
  </si>
  <si>
    <t xml:space="preserve">Secretaría de Transporte </t>
  </si>
  <si>
    <t>065</t>
  </si>
  <si>
    <t>Mujeres Conductoras Al Estilo Jalisco (LOP)</t>
  </si>
  <si>
    <t>066</t>
  </si>
  <si>
    <t>Mujeres Conductoras Al Estilo Jalisco (ROP)</t>
  </si>
  <si>
    <t>38</t>
  </si>
  <si>
    <t xml:space="preserve">Secretaría de Gestión Integral del Agua </t>
  </si>
  <si>
    <t xml:space="preserve">Comisión Estatal del Agua </t>
  </si>
  <si>
    <t xml:space="preserve">Nidos de LLuvia </t>
  </si>
  <si>
    <t>39</t>
  </si>
  <si>
    <t xml:space="preserve">Secretaría de Igualdad Sustantiva entre Mujeres y Hombres </t>
  </si>
  <si>
    <t>068</t>
  </si>
  <si>
    <t>S92_D2</t>
  </si>
  <si>
    <t xml:space="preserve">Fuerza Mujeres </t>
  </si>
  <si>
    <t>069</t>
  </si>
  <si>
    <t xml:space="preserve">Empresarias de Alto Impacto </t>
  </si>
  <si>
    <t>070</t>
  </si>
  <si>
    <t>Apoyos económicos para las Hijas e Hijos de Mujeres Víctimas de Feminicidio</t>
  </si>
  <si>
    <t>071</t>
  </si>
  <si>
    <t xml:space="preserve">Barrios de Paz </t>
  </si>
  <si>
    <t>S95_D1</t>
  </si>
  <si>
    <t>072</t>
  </si>
  <si>
    <t>Estrategia Ale</t>
  </si>
  <si>
    <t>073</t>
  </si>
  <si>
    <t xml:space="preserve">Asosiaciones por la Igualdad </t>
  </si>
  <si>
    <t>096</t>
  </si>
  <si>
    <t xml:space="preserve">Red de Centros de Justicia para las Mujeres </t>
  </si>
  <si>
    <t>074</t>
  </si>
  <si>
    <t>Reglas de Operación para la Atención Especializada de Necesidades Complementarias de las Usuarias de los Centros de Justicia para las Mujeres del Estado de Jalisco</t>
  </si>
  <si>
    <t>43</t>
  </si>
  <si>
    <t>Coordinación General Estratégica de Desarrollo Social</t>
  </si>
  <si>
    <t>Sistema para el Desarrollo Integral de la Familia Jalisco (DIF)</t>
  </si>
  <si>
    <t>075</t>
  </si>
  <si>
    <t>Programa de Atención a Grupos Prioritarios</t>
  </si>
  <si>
    <t>S95_D3</t>
  </si>
  <si>
    <t>076</t>
  </si>
  <si>
    <t>Programa de Salud y Bienestar Comunitario PSBC</t>
  </si>
  <si>
    <t>077</t>
  </si>
  <si>
    <t>Programa DIF Pilares</t>
  </si>
  <si>
    <t>S96_D4</t>
  </si>
  <si>
    <t>078</t>
  </si>
  <si>
    <t xml:space="preserve">Apoyos Asistenciales a Personas en Situación Prioritaria </t>
  </si>
  <si>
    <t>079</t>
  </si>
  <si>
    <t>Estrategias de formación y apoyos económicos otorgados para la prevención de riesgos psicosociales y atención a la niñez</t>
  </si>
  <si>
    <t>080</t>
  </si>
  <si>
    <t>Acompañar la ausencia a personas familiares víctimas indirectas de una desaparición, en el Estado de Jalisco: apoyo a municipios (nombre preeliminar)</t>
  </si>
  <si>
    <t>081</t>
  </si>
  <si>
    <t>Apoyos asistenciales otorgados a población vulnerable. (Nombre preeliminar)</t>
  </si>
  <si>
    <t>S98_D1</t>
  </si>
  <si>
    <t>082</t>
  </si>
  <si>
    <t>Acompañar la ausencia a personas familiares víctimas indirectas de una desaparición, en el Estado de Jalisco: apoyo directo (Nombre preeliminar)</t>
  </si>
  <si>
    <t>Atención y Representación de Niñas, Niños y Adolescentes para la Protección y Restitución de sus Derechos en el Estado de Jalisco</t>
  </si>
  <si>
    <t>084</t>
  </si>
  <si>
    <t>Fortalecer las acciones para la atención y/o reintegración de personas en situación de calle, en contexto de movilidad, tránsito, retorno o en condición de vulnerabilidad en el estado de Jalisco</t>
  </si>
  <si>
    <t>S98_D2</t>
  </si>
  <si>
    <t>085</t>
  </si>
  <si>
    <t>Apoyos a Personas con Discapacidad en el Estado de Jalisco</t>
  </si>
  <si>
    <t>086</t>
  </si>
  <si>
    <t xml:space="preserve">Transferencias Económicas para el Fortalecimiento de la Atención Alimentaria </t>
  </si>
  <si>
    <t>087</t>
  </si>
  <si>
    <t>Equipamientos para Fortalecer la Atención Alimentaria</t>
  </si>
  <si>
    <t>088</t>
  </si>
  <si>
    <t>Programa de Alimentación Escolar</t>
  </si>
  <si>
    <t>S99_D1</t>
  </si>
  <si>
    <t>089</t>
  </si>
  <si>
    <t>Programa de Atención Alimentaria a Personas en Situación de Vulnerabilidad</t>
  </si>
  <si>
    <t>090</t>
  </si>
  <si>
    <t>Programa de Atención Alimentaria en los Primeros 1,000 Días y Primera Infancia</t>
  </si>
  <si>
    <t>091</t>
  </si>
  <si>
    <t>Comedores Comunitarios</t>
  </si>
  <si>
    <t>092</t>
  </si>
  <si>
    <t>Despensas Alimentarias</t>
  </si>
  <si>
    <t>54</t>
  </si>
  <si>
    <t>Instituto Jalisciense de la Vivienda</t>
  </si>
  <si>
    <t>093</t>
  </si>
  <si>
    <t>Mi Primera Renta</t>
  </si>
  <si>
    <t>094</t>
  </si>
  <si>
    <t>Acondicionamiento de Vivienda para PCD (Recurso propio)</t>
  </si>
  <si>
    <t>S99_D2</t>
  </si>
  <si>
    <t>095</t>
  </si>
  <si>
    <t>Mejoramiento de Vivienda</t>
  </si>
  <si>
    <t>Jalisco Si Pinta (Recurso propio)</t>
  </si>
  <si>
    <t>S99_B3</t>
  </si>
  <si>
    <t>09_190</t>
  </si>
  <si>
    <t>S9C_D1</t>
  </si>
  <si>
    <t>09_225</t>
  </si>
  <si>
    <t>S9E_C1</t>
  </si>
  <si>
    <t>S9E_C2</t>
  </si>
  <si>
    <t>S9E_D3</t>
  </si>
  <si>
    <t>10_042</t>
  </si>
  <si>
    <t>S1C_D1</t>
  </si>
  <si>
    <t>S1C_D2</t>
  </si>
  <si>
    <t>S1C_D4</t>
  </si>
  <si>
    <t>10_043</t>
  </si>
  <si>
    <t>S1E_D6</t>
  </si>
  <si>
    <t>11_000</t>
  </si>
  <si>
    <t>S02_C1</t>
  </si>
  <si>
    <t>S03_C1</t>
  </si>
  <si>
    <t>S03_C2</t>
  </si>
  <si>
    <t>S03_C3</t>
  </si>
  <si>
    <t>S03_B8</t>
  </si>
  <si>
    <t>S03_C4</t>
  </si>
  <si>
    <t>S03_C5</t>
  </si>
  <si>
    <t>S03_C6</t>
  </si>
  <si>
    <t>S03_A7</t>
  </si>
  <si>
    <t>S04_B1</t>
  </si>
  <si>
    <t>S04_C3</t>
  </si>
  <si>
    <t>S04_B4</t>
  </si>
  <si>
    <t>S04_A5</t>
  </si>
  <si>
    <t>S05_B1</t>
  </si>
  <si>
    <t>S06_A1</t>
  </si>
  <si>
    <t>S07_A1</t>
  </si>
  <si>
    <t>S07_A2</t>
  </si>
  <si>
    <t>S08_A1</t>
  </si>
  <si>
    <t>S08_A2</t>
  </si>
  <si>
    <t>S08_A4</t>
  </si>
  <si>
    <t>S08_C5</t>
  </si>
  <si>
    <t>S09_C3</t>
  </si>
  <si>
    <t>12_000</t>
  </si>
  <si>
    <t>S24_C1</t>
  </si>
  <si>
    <t>S22_C2</t>
  </si>
  <si>
    <t>S21_03</t>
  </si>
  <si>
    <t>S21_C2</t>
  </si>
  <si>
    <t>12_067</t>
  </si>
  <si>
    <t>S2N_01</t>
  </si>
  <si>
    <t>S2N_02</t>
  </si>
  <si>
    <t>S2N_03</t>
  </si>
  <si>
    <t>S2N_04</t>
  </si>
  <si>
    <t>S2N_05</t>
  </si>
  <si>
    <t>12_202</t>
  </si>
  <si>
    <t>S2L_03</t>
  </si>
  <si>
    <t>S2L_01</t>
  </si>
  <si>
    <t>13_000</t>
  </si>
  <si>
    <t>SC1_C1</t>
  </si>
  <si>
    <t>SC1_C2</t>
  </si>
  <si>
    <t>SC3_C4</t>
  </si>
  <si>
    <t>Federal</t>
  </si>
  <si>
    <t>SC4_C7</t>
  </si>
  <si>
    <t>SC4_C1</t>
  </si>
  <si>
    <t>SC4_C2</t>
  </si>
  <si>
    <t>SC4_C4</t>
  </si>
  <si>
    <t>SC4_C6</t>
  </si>
  <si>
    <t>13_083</t>
  </si>
  <si>
    <t>S3G_A1</t>
  </si>
  <si>
    <t>S3G_A2</t>
  </si>
  <si>
    <t>15_000</t>
  </si>
  <si>
    <t>ST2_B4</t>
  </si>
  <si>
    <t>ST2_B5</t>
  </si>
  <si>
    <t>38_023</t>
  </si>
  <si>
    <t>S3B_D1</t>
  </si>
  <si>
    <t>S3B_D2</t>
  </si>
  <si>
    <t>39_000</t>
  </si>
  <si>
    <t>SM1_B1</t>
  </si>
  <si>
    <t>SM1_B3</t>
  </si>
  <si>
    <t>SM2_H6</t>
  </si>
  <si>
    <t>SM2_H4</t>
  </si>
  <si>
    <t>SM2_H5</t>
  </si>
  <si>
    <t>SM3_B3</t>
  </si>
  <si>
    <t>39_096</t>
  </si>
  <si>
    <t>SM9_H2</t>
  </si>
  <si>
    <t xml:space="preserve">Estatal </t>
  </si>
  <si>
    <t>43_045</t>
  </si>
  <si>
    <t>SD1_C1</t>
  </si>
  <si>
    <t>SD1_C2</t>
  </si>
  <si>
    <t>SD1_C3</t>
  </si>
  <si>
    <t>SD1_A4</t>
  </si>
  <si>
    <t>SD2_C1</t>
  </si>
  <si>
    <t>SD2_C2</t>
  </si>
  <si>
    <t>SD2_C3</t>
  </si>
  <si>
    <t>SD3_C1</t>
  </si>
  <si>
    <t>SD3_A5</t>
  </si>
  <si>
    <t>SD3_G6</t>
  </si>
  <si>
    <t>SD3_C8</t>
  </si>
  <si>
    <t>SD3_G9</t>
  </si>
  <si>
    <t>SD4_A3</t>
  </si>
  <si>
    <t>SD5_C1</t>
  </si>
  <si>
    <t>SD5_C3</t>
  </si>
  <si>
    <t>SD6_C1</t>
  </si>
  <si>
    <t>SD6_C2</t>
  </si>
  <si>
    <t>SD6_A3</t>
  </si>
  <si>
    <t>SD6_C4</t>
  </si>
  <si>
    <t>SD6_C5</t>
  </si>
  <si>
    <t>SD6_C6</t>
  </si>
  <si>
    <t>SD6_C7</t>
  </si>
  <si>
    <t>54_000</t>
  </si>
  <si>
    <t>S5V_C8</t>
  </si>
  <si>
    <t>S5V_D3</t>
  </si>
  <si>
    <t>S5V_C1</t>
  </si>
  <si>
    <t>S5V_D2</t>
  </si>
  <si>
    <t>04_000</t>
  </si>
  <si>
    <t>SE1_A4</t>
  </si>
  <si>
    <t>SE3_A1</t>
  </si>
  <si>
    <t>SE3_A2</t>
  </si>
  <si>
    <t>SE6_A4</t>
  </si>
  <si>
    <t>SE6_B4</t>
  </si>
  <si>
    <t>14_000</t>
  </si>
  <si>
    <t>S41_C1</t>
  </si>
  <si>
    <t>S41_C2</t>
  </si>
  <si>
    <t>S48_01</t>
  </si>
  <si>
    <t>S48_02</t>
  </si>
  <si>
    <t>S48_03</t>
  </si>
  <si>
    <t>S42_C1</t>
  </si>
  <si>
    <t>S42_C3</t>
  </si>
  <si>
    <t>S42_C4</t>
  </si>
  <si>
    <t>S9C_D2</t>
  </si>
  <si>
    <t>Apoyo a productores de máiz blanco del estado de Jalisco</t>
  </si>
  <si>
    <t>Recursos Propios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</si>
</sst>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FFFFFF"/>
      <name val="Arial"/>
    </font>
    <font>
      <b/>
      <sz val="12.0"/>
      <color rgb="FFFFFFFF"/>
      <name val="Arial"/>
      <scheme val="minor"/>
    </font>
    <font>
      <color theme="1"/>
      <name val="Arial"/>
      <scheme val="minor"/>
    </font>
    <font>
      <color theme="1"/>
      <name val="Nunito"/>
    </font>
    <font>
      <sz val="10.0"/>
      <color rgb="FF000000"/>
      <name val="Nunito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3" numFmtId="0" xfId="0" applyFont="1"/>
    <xf borderId="0" fillId="0" fontId="3" numFmtId="49" xfId="0" applyFont="1" applyNumberFormat="1"/>
    <xf quotePrefix="1" borderId="0" fillId="0" fontId="4" numFmtId="49" xfId="0" applyAlignment="1" applyFont="1" applyNumberFormat="1">
      <alignment horizontal="center" readingOrder="0" shrinkToFit="0" vertical="center" wrapText="1"/>
    </xf>
    <xf borderId="0" fillId="3" fontId="4" numFmtId="49" xfId="0" applyAlignment="1" applyFill="1" applyFont="1" applyNumberFormat="1">
      <alignment horizontal="center" readingOrder="0" shrinkToFit="0" vertical="center" wrapText="1"/>
    </xf>
    <xf borderId="0" fillId="3" fontId="4" numFmtId="49" xfId="0" applyAlignment="1" applyFill="1" applyFont="1" applyNumberFormat="1">
      <alignment horizontal="center" shrinkToFit="0" vertical="center" wrapText="1"/>
    </xf>
    <xf borderId="0" fillId="4" fontId="5" numFmtId="49" xfId="0" applyAlignment="1" applyFill="1" applyFont="1" applyNumberFormat="1">
      <alignment horizontal="center" readingOrder="0" vertical="center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uillermo Amezcua Moreno" id="{d588f755-4778-4ac3-b440-b15faef6ceff}" providerId="google-sheets"/>
  <x18tc:person displayName="Mariana Claret Gutiérrez Márquez" id="{e9e1fb8d-f948-4cb8-ad63-6b2a86cd3555}" providerId="google-sheets"/>
  <x18tc:person displayName="Armando Yair Cárdenas Ávila" id="{dac9c582-67e0-47da-840e-3f79f582095d}" providerId="google-sheets"/>
  <x18tc:person displayName="Karla Marcela Padilla Chávez" id="{25f5eabf-fe88-4321-bee4-09fb72b64639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1064" sheet="Hoja 1"/>
  </cacheSource>
  <cacheFields>
    <cacheField name="UP" numFmtId="49">
      <sharedItems containsBlank="1">
        <s v="02"/>
        <s v="03"/>
        <s v="07"/>
        <s v="08"/>
        <s v="09"/>
        <s v="10"/>
        <s v="11"/>
        <s v="12"/>
        <s v="13"/>
        <s v="15"/>
        <s v="38"/>
        <s v="39"/>
        <s v="43"/>
        <s v="54"/>
        <s v="04"/>
        <s v="14"/>
        <m/>
      </sharedItems>
    </cacheField>
    <cacheField name="DEPENDENCIA" numFmtId="49">
      <sharedItems containsBlank="1">
        <s v="Secretaría General de Gobierno"/>
        <s v="Secretaría de Hacienda "/>
        <s v="Secretaría de Desarrollo Económico"/>
        <s v="Secretaría de Turismo"/>
        <s v="Secretaría de Agricultura y Desarrollo Rural"/>
        <s v="Secretaría de Medio Ambiente y Desarrollo Territorial "/>
        <s v="Secretaría del Sistema de Asistencia Social"/>
        <s v="Secretaría de Innovación, Ciencia y Tecnológia"/>
        <s v="Secretaría de Cultura"/>
        <s v="Secretaría de Transporte "/>
        <s v="Secretaría de Gestión Integral del Agua "/>
        <s v="Secretaría de Igualdad Sustantiva entre Mujeres y Hombres "/>
        <s v="Coordinación General Estratégica de Desarrollo Social"/>
        <s v="Instituto Jalisciense de la Vivienda"/>
        <s v="Secretaría de Educación "/>
        <s v="Secretaría de Trabajo y Previsión Social"/>
        <m/>
      </sharedItems>
    </cacheField>
    <cacheField name="UR" numFmtId="49">
      <sharedItems containsBlank="1">
        <s v="000"/>
        <s v="172"/>
        <s v="801"/>
        <s v="729"/>
        <s v="244"/>
        <s v="190"/>
        <s v="225"/>
        <s v="042"/>
        <s v="043"/>
        <s v="067"/>
        <s v="202"/>
        <s v="083"/>
        <s v="023"/>
        <s v="096"/>
        <s v="045"/>
        <m/>
      </sharedItems>
    </cacheField>
    <cacheField name="Llave UP_UR" numFmtId="49">
      <sharedItems containsBlank="1">
        <s v="02_000"/>
        <s v="02_172"/>
        <s v="02_801"/>
        <s v="03_729"/>
        <s v="07_000"/>
        <s v="07_244"/>
        <s v="08_000"/>
        <s v="09_000"/>
        <s v="09_190"/>
        <s v="09_225"/>
        <s v="10_042"/>
        <s v="10_043"/>
        <s v="11_000"/>
        <s v="12_000"/>
        <s v="12_067"/>
        <s v="12_202"/>
        <s v="13_000"/>
        <s v="13_083"/>
        <s v="15_000"/>
        <s v="38_023"/>
        <s v="39_000"/>
        <s v="39_096"/>
        <s v="43_045"/>
        <s v="54_000"/>
        <s v="04_000"/>
        <s v="14_000"/>
        <m/>
      </sharedItems>
    </cacheField>
    <cacheField name="UNIDAD RESPONSABLE" numFmtId="49">
      <sharedItems containsBlank="1">
        <s v="Secretaría General de Gobierno"/>
        <s v="Comisión Estatal Indígena"/>
        <s v="Comisión para la Búsqueda de Personas"/>
        <s v="Fideicomiso de Administración para la mejora de la Seguridad Vial"/>
        <s v="Secretaría de Desarrollo Económico"/>
        <s v="Fondo Impulso Jalisco"/>
        <s v="Secretaría de Turismo"/>
        <s v="Secretaría de Agricultura y Desarrollo Rural"/>
        <s v="Fideicomiso para Coberturas de Precios de Maíz"/>
        <s v="Agencia Estatal de Sanidad, Inocuidad y Calidad Agroalimentaria en Jalisco"/>
        <s v="O.P.D. Bosque la Primavera "/>
        <s v="Fideicomiso para la Administración del Programa de Desarrollo Forestal del Estado de Jalisco (FIPRODEFO)"/>
        <s v="Secretaría del Sistema de Asistencia Social"/>
        <s v="Secretaría de Innovación, Ciencia y Tecnológia"/>
        <s v="Consejo Estatal de Ciencia y Tecnología del Estado de Jalisco"/>
        <s v="Agencia para el Desarrollo de Industrias Creativas y Digitales del Estado de Jalisco"/>
        <s v="Secretaría de cultura"/>
        <s v="Fideicomiso Fondo Estatal para la Cultura y las Artes FEFCA"/>
        <s v="Secretaría de Transporte "/>
        <s v="Comisión Estatal del Agua "/>
        <s v="Secretaría de Igualdad Sustantiva entre Mujeres y Hombres "/>
        <s v="Red de Centros de Justicia para las Mujeres "/>
        <s v="Sistema para el Desarrollo Integral de la Familia Jalisco (DIF)"/>
        <s v="Instituto Jalisciense de la Vivienda"/>
        <s v="Secretaría de Educación "/>
        <s v="Secretaría de Trabajo y Previsión Social "/>
        <m/>
      </sharedItems>
    </cacheField>
    <cacheField name="AR" numFmtId="49">
      <sharedItems containsBlank="1">
        <s v="S"/>
        <s v="U"/>
        <m/>
      </sharedItems>
    </cacheField>
    <cacheField name="RoL" numFmtId="49">
      <sharedItems containsBlank="1">
        <s v="ROP"/>
        <s v="LOP"/>
        <m/>
      </sharedItems>
    </cacheField>
    <cacheField name="Llave Componente" numFmtId="49">
      <sharedItems containsBlank="1">
        <s v="SG1_C2"/>
        <s v="SG1_C3"/>
        <s v="SG1_C4"/>
        <s v="SG1_C7"/>
        <s v="SG1_CD"/>
        <s v="SG1_CH"/>
        <s v="SG1_C1"/>
        <s v="SG1_C6"/>
        <s v="SG1_CA"/>
        <s v="SG1_C5"/>
        <s v="SJ7_C1"/>
        <s v="SJ7_C2"/>
        <s v="SBP_GA"/>
        <s v="ST4_D1"/>
        <s v="ST4_D2"/>
        <s v="S70_D1"/>
        <s v="S71_C1"/>
        <s v="S72_B1"/>
        <s v="S7F_C1"/>
        <s v="S7F_C2"/>
        <s v="S81_03"/>
        <s v="S81_06"/>
        <s v="S91_D8"/>
        <s v="S92_D1"/>
        <s v="S92_D2"/>
        <s v="S95_D1"/>
        <s v="S95_D3"/>
        <s v="S96_D4"/>
        <s v="S98_D1"/>
        <s v="S98_D2"/>
        <s v="S99_D1"/>
        <s v="S99_D2"/>
        <s v="S99_B3"/>
        <s v="S9C_D1"/>
        <s v="S9E_C1"/>
        <s v="S9E_C2"/>
        <s v="S9E_D3"/>
        <s v="S1C_D1"/>
        <s v="S1C_D2"/>
        <s v="S1C_D4"/>
        <s v="S1E_D6"/>
        <s v="S02_C1"/>
        <s v="S03_C1"/>
        <s v="S03_C2"/>
        <s v="S03_C3"/>
        <s v="S03_B8"/>
        <s v="S03_C4"/>
        <s v="S03_C5"/>
        <s v="S03_C6"/>
        <s v="S03_A7"/>
        <s v="S04_B1"/>
        <s v="S04_C3"/>
        <s v="S04_B4"/>
        <s v="S04_A5"/>
        <s v="S05_B1"/>
        <s v="S06_A1"/>
        <s v="S07_A1"/>
        <s v="S07_A2"/>
        <s v="S08_A1"/>
        <s v="S08_A2"/>
        <s v="S08_A4"/>
        <s v="S08_C5"/>
        <s v="S09_C3"/>
        <s v="S24_C1"/>
        <s v="S22_C2"/>
        <s v="S21_03"/>
        <s v="S21_C2"/>
        <s v="S2N_01"/>
        <s v="S2N_02"/>
        <s v="S2N_03"/>
        <s v="S2N_04"/>
        <s v="S2N_05"/>
        <s v="S2L_03"/>
        <s v="S2L_01"/>
        <s v="SC1_C1"/>
        <s v="SC1_C2"/>
        <s v="SC3_C4"/>
        <s v="SC4_C7"/>
        <s v="SC4_C1"/>
        <s v="SC4_C2"/>
        <s v="SC4_C4"/>
        <s v="SC4_C6"/>
        <s v="S3G_A1"/>
        <s v="S3G_A2"/>
        <s v="ST2_B4"/>
        <s v="ST2_B5"/>
        <s v="S3B_D1"/>
        <s v="S3B_D2"/>
        <s v="SM1_B1"/>
        <s v="SM1_B3"/>
        <s v="SM2_H6"/>
        <s v="SM2_H4"/>
        <s v="SM2_H5"/>
        <s v="SM3_B3"/>
        <s v="SM9_H2"/>
        <s v="SD1_C1"/>
        <s v="SD1_C2"/>
        <s v="SD1_C3"/>
        <s v="SD1_A4"/>
        <s v="SD2_C1"/>
        <s v="SD2_C2"/>
        <s v="SD2_C3"/>
        <s v="SD3_C1"/>
        <s v="SD3_A5"/>
        <s v="SD3_G6"/>
        <s v="SD3_C8"/>
        <s v="SD3_G9"/>
        <s v="SD4_A3"/>
        <s v="SD5_C1"/>
        <s v="SD5_C3"/>
        <s v="SD6_C1"/>
        <s v="SD6_C2"/>
        <s v="SD6_A3"/>
        <s v="SD6_C4"/>
        <s v="SD6_C5"/>
        <s v="SD6_C6"/>
        <s v="SD6_C7"/>
        <s v="S5V_C8"/>
        <s v="S5V_D3"/>
        <s v="S5V_C1"/>
        <s v="S5V_D2"/>
        <s v="SE1_A4"/>
        <s v="SE3_A1"/>
        <s v="SE3_A2"/>
        <s v="SE6_A4"/>
        <s v="SE6_B4"/>
        <s v="S41_C1"/>
        <s v="S41_C2"/>
        <s v="S48_01"/>
        <s v="S48_02"/>
        <s v="S48_03"/>
        <s v="S42_C1"/>
        <s v="S42_C3"/>
        <s v="S42_C4"/>
        <s v="S9C_D2"/>
        <m/>
      </sharedItems>
    </cacheField>
    <cacheField name="ROP_LOP Asignada" numFmtId="49">
      <sharedItems containsBlank="1">
        <s v="Programa de Atención a Jaliciences en Contexto de Movilidad Humana"/>
        <s v="Programa REINA Red de Especialización Integral de Nuevos Artistas, 2026"/>
        <s v="Programa Becas Universitarias Al Estilo Jalisco"/>
        <s v="Programa por la Inclusión de Personas con Discapacidad"/>
        <s v="Apoyos a OSC para apoyo a la población de diversidad sexual"/>
        <s v="Atención y Oportunidades para las Juventudes No dejar a nadie atrás"/>
        <s v="Programa Red de enlaces regionales del Mecanismo de Atención a Víctimas de Discriminación MAViD MAViDmun"/>
        <s v=" Apoyos económicos para los pueblos y comunidades indígenas"/>
        <s v="Becas por la Interculturalidad para estudiantes indígenas del nivel medio superior y superior"/>
        <s v="Programa de Apoyo a Familiares de Personas Desaparecidas en el Estado de Jalisco "/>
        <s v="Renovación parque vehicular transporte público"/>
        <s v="Reducción de la tarifa del transporte público para las personas usuarias"/>
        <s v="Jalisco Atrae"/>
        <s v="Artesanías Jalisco Más"/>
        <s v="Impulso Mipymes Jalisco"/>
        <s v="Impulso a la Competitividad, Talento y Vinculación al estilo Jalisco"/>
        <s v="Crecer al Estilo Jalisco mediante la generación de Empleo y Talento"/>
        <s v="Programa para Desarrollo de productos y experiencias turísticas en el Estado de Jalisco"/>
        <s v="Programa de apoyo a Producciones fílmicas y audiovisuales en el Estado de Jalisco"/>
        <s v="Impulso Agro Jalisco. Producción y Tecnología"/>
        <s v="Jalisco Agrosustentable"/>
        <s v="Eficiencia verde cañera"/>
        <s v="Proyectos Estratégicos Agropecuarios, Pesqueros y Acuícolas al estilo Jalisco"/>
        <s v="Proyectos Estratégicos Agroalimentarios."/>
        <s v="Empedrados al estilo Jalisco"/>
        <s v="Fondo Jalisco para Contingencias Agroalimentarias"/>
        <s v="Apoyo a Cooperativas de la Laguna de Cajititlán"/>
        <s v="Fortalecimiento de Casas Ejidales"/>
        <s v="Agroinnovadoras y Jóvenes del campo de Jalisco"/>
        <s v="Fideicomiso para Coberturas de Precios de Maíz (LOP)"/>
        <s v="Programa de Apoyo para el Fortalecimiento de la Inocuidad en Rastros en el Estado de Jalisco"/>
        <s v="Programa de Eliminación de Animales Positivos, Reactores, Expuestos y Sospechosos"/>
        <s v="Programa de Apoyo para la Prevención y Control del Gusano Barrenador del Ganado en el Estado de Jalisco"/>
        <s v="Administración y Manejo del Área de Protección de Flora y Fauna La Primavera"/>
        <s v="Programa para el Desarrollo Forestal Sustentable del Estado de Jalisco"/>
        <s v="Yo Jalisco Apoyo para la Salud Mental "/>
        <s v="Yo Jalisco, Apoyo al Transporte"/>
        <s v="Yo Jalisco Apoyo a Personas Cuidadoras y Personas Dependientes de Cuidados"/>
        <s v="Yo Jalisco Apoyo para el Cuidado Infantil"/>
        <s v="Yo Jalisco, Apoyo a Instituciones de Cuidado Infantil"/>
        <s v="Yo Jalisco Apoyo a Jefas de Jalisco "/>
        <s v="Listo Jalisco "/>
        <s v="Yo Jalisco Apoyo a Asociaciones Civiles "/>
        <s v="Yo Jalisco, Apoyo a Nuestras Comunidades"/>
        <s v="Yo Jalisco, Apoyo al Desarrollo Social"/>
        <s v="Enchulemos Jalisco"/>
        <s v="Yo Jalisco Transporte a Grupos Prioritarios"/>
        <s v="Yo Jalisco, Apoyo para nuestra gente"/>
        <s v="Fortalecimiento de ecosistemas regionales a través de la innovación y emprendimiento"/>
        <s v="Fortalecimiento de la Cultura de Innovación, Ciencia y Tecnología"/>
        <s v="Apoyos de Educación Superior para Jóvenes LEGADO"/>
        <s v="Impulso y Fortalecimiento a la Educación Superior"/>
        <s v="Gestión de fondos y programas de apoyo a la Ciencia, Tecnología e Innovación"/>
        <s v="Fondo para Proyectos de Alto Impacto a la Industria Creativa Digital"/>
        <s v="Fondo Jalisco Creativo"/>
        <s v="Fondo Talleres en Casas de la Cultura"/>
        <s v="Fondo Jalisco de Animación Cultural"/>
        <s v="Programa de Apoyo a las Cultura Municipales y Comunitarias (PACMYC)"/>
        <s v="Programa de Estímulo a la Creación y al Desarrollo Artístico (PECDA)"/>
        <s v="Proyecta Producción"/>
        <s v="Proyecta Traslados"/>
        <s v="Programa de Fomento Editorial"/>
        <s v="Habita la Escena"/>
        <s v="Programa ECOS, Música para la Paz"/>
        <s v="Mujeres Conductoras Al Estilo Jalisco (LOP)"/>
        <s v="Mujeres Conductoras Al Estilo Jalisco (ROP)"/>
        <s v="Nidos de LLuvia "/>
        <s v="Fuerza Mujeres "/>
        <s v="Empresarias de Alto Impacto "/>
        <s v="Apoyos económicos para las Hijas e Hijos de Mujeres Víctimas de Feminicidio"/>
        <s v="Barrios de Paz "/>
        <s v="Estrategia Ale"/>
        <s v="Asosiaciones por la Igualdad "/>
        <s v="Reglas de Operación para la Atención Especializada de Necesidades Complementarias de las Usuarias de los Centros de Justicia para las Mujeres del Estado de Jalisco"/>
        <s v="Programa de Atención a Grupos Prioritarios"/>
        <s v="Programa de Salud y Bienestar Comunitario PSBC"/>
        <s v="Programa DIF Pilares"/>
        <s v="Apoyos Asistenciales a Personas en Situación Prioritaria "/>
        <s v="Estrategias de formación y apoyos económicos otorgados para la prevención de riesgos psicosociales y atención a la niñez"/>
        <s v="Acompañar la ausencia a personas familiares víctimas indirectas de una desaparición, en el Estado de Jalisco: apoyo a municipios (nombre preeliminar)"/>
        <s v="Apoyos asistenciales otorgados a población vulnerable. (Nombre preeliminar)"/>
        <s v="Acompañar la ausencia a personas familiares víctimas indirectas de una desaparición, en el Estado de Jalisco: apoyo directo (Nombre preeliminar)"/>
        <s v="Atención y Representación de Niñas, Niños y Adolescentes para la Protección y Restitución de sus Derechos en el Estado de Jalisco"/>
        <s v="Fortalecer las acciones para la atención y/o reintegración de personas en situación de calle, en contexto de movilidad, tránsito, retorno o en condición de vulnerabilidad en el estado de Jalisco"/>
        <s v="Apoyos a Personas con Discapacidad en el Estado de Jalisco"/>
        <s v="Transferencias Económicas para el Fortalecimiento de la Atención Alimentaria "/>
        <s v="Equipamientos para Fortalecer la Atención Alimentaria"/>
        <s v="Programa de Alimentación Escolar"/>
        <s v="Programa de Atención Alimentaria a Personas en Situación de Vulnerabilidad"/>
        <s v="Programa de Atención Alimentaria en los Primeros 1,000 Días y Primera Infancia"/>
        <s v="Comedores Comunitarios"/>
        <s v="Despensas Alimentarias"/>
        <s v="Mi Primera Renta"/>
        <s v="Acondicionamiento de Vivienda para PCD (Recurso propio)"/>
        <s v="Mejoramiento de Vivienda"/>
        <s v="Jalisco Si Pinta (Recurso propio)"/>
        <s v="Programa Ayuda Económica para NIñas del Internado Beatriz Hernández "/>
        <s v="Becas Jalisco Contigo "/>
        <s v="Becas Talento "/>
        <s v="Programa Ayuda Económica para las y los Estudiantes de la Escuela Normal Rural Miguel Hidalgo "/>
        <s v="Empleo Temporal al Estilo Jalisco  "/>
        <s v="Jale seguro al estilo Jalisco "/>
        <s v="Programa Apoyo al Empleo "/>
        <s v="Apoyo a productores de máiz blanco del estado de Jalisco"/>
        <m/>
      </sharedItems>
    </cacheField>
    <cacheField name="Estatal / Federal" numFmtId="49">
      <sharedItems containsBlank="1">
        <s v="Estatal"/>
        <s v="Federal"/>
        <s v="Estatal "/>
        <s v="Recursos Propios"/>
        <m/>
      </sharedItems>
    </cacheField>
    <cacheField name="Clave ROP_LOP" numFmtId="49">
      <sharedItems containsBlank="1">
        <s v="001"/>
        <s v="002"/>
        <s v="003"/>
        <s v="004"/>
        <s v="005"/>
        <s v="006"/>
        <s v="007"/>
        <s v="008"/>
        <s v="009"/>
        <s v="010"/>
        <s v="011"/>
        <s v="012"/>
        <s v="013"/>
        <s v="014"/>
        <s v="015"/>
        <s v="016"/>
        <s v="017"/>
        <s v="018"/>
        <s v="019"/>
        <s v="020"/>
        <s v="021"/>
        <s v="022"/>
        <s v="023"/>
        <s v="024"/>
        <s v="025"/>
        <s v="026"/>
        <s v="027"/>
        <s v="028"/>
        <s v="029"/>
        <s v="030"/>
        <s v="031"/>
        <s v="032"/>
        <s v="033"/>
        <s v="034"/>
        <s v="035"/>
        <s v="036"/>
        <s v="037"/>
        <s v="038"/>
        <s v="039"/>
        <s v="040"/>
        <s v="041"/>
        <s v="042"/>
        <s v="043"/>
        <s v="044"/>
        <s v="045"/>
        <s v="046"/>
        <s v="047"/>
        <s v="048"/>
        <s v="049"/>
        <s v="050"/>
        <s v="051"/>
        <s v="052"/>
        <s v="053"/>
        <s v="054"/>
        <s v="055"/>
        <s v="056"/>
        <s v="057"/>
        <s v="058"/>
        <s v="059"/>
        <s v="060"/>
        <s v="061"/>
        <s v="062"/>
        <s v="063"/>
        <s v="064"/>
        <s v="065"/>
        <s v="066"/>
        <s v="067"/>
        <s v="068"/>
        <s v="069"/>
        <s v="070"/>
        <s v="071"/>
        <s v="072"/>
        <s v="073"/>
        <s v="074"/>
        <s v="075"/>
        <s v="076"/>
        <s v="077"/>
        <s v="078"/>
        <s v="079"/>
        <s v="080"/>
        <s v="081"/>
        <s v="082"/>
        <s v="083"/>
        <s v="084"/>
        <s v="085"/>
        <s v="086"/>
        <s v="087"/>
        <s v="088"/>
        <s v="089"/>
        <s v="090"/>
        <s v="091"/>
        <s v="092"/>
        <s v="093"/>
        <s v="094"/>
        <s v="095"/>
        <s v="096"/>
        <s v="097"/>
        <s v="098"/>
        <s v="099"/>
        <s v="100"/>
        <s v="101"/>
        <s v="102"/>
        <s v="103"/>
        <s v="104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2" cacheId="0" dataCaption="" rowGrandTotals="0" compact="0" compactData="0">
  <location ref="A1:H105" firstHeaderRow="0" firstDataRow="7" firstDataCol="0"/>
  <pivotFields>
    <pivotField name="UP" axis="axisRow" compact="0" numFmtId="49" outline="0" multipleItemSelectionAllowed="1" showAll="0" sortType="ascending" defaultSubtotal="0">
      <items>
        <item x="16"/>
        <item x="0"/>
        <item x="1"/>
        <item x="14"/>
        <item x="2"/>
        <item x="3"/>
        <item x="4"/>
        <item x="5"/>
        <item x="6"/>
        <item x="7"/>
        <item x="8"/>
        <item x="15"/>
        <item x="9"/>
        <item x="10"/>
        <item x="11"/>
        <item x="12"/>
        <item x="13"/>
      </items>
    </pivotField>
    <pivotField name="DEPENDENCIA" axis="axisRow" compact="0" numFmtId="49" outline="0" multipleItemSelectionAllowed="1" showAll="0" sortType="ascending" defaultSubtotal="0">
      <items>
        <item x="16"/>
        <item x="12"/>
        <item x="13"/>
        <item x="4"/>
        <item x="8"/>
        <item x="2"/>
        <item x="14"/>
        <item x="10"/>
        <item x="1"/>
        <item x="11"/>
        <item x="7"/>
        <item x="5"/>
        <item x="15"/>
        <item x="9"/>
        <item x="3"/>
        <item x="6"/>
        <item x="0"/>
      </items>
    </pivotField>
    <pivotField name="UR" axis="axisRow" compact="0" numFmtId="49" outline="0" multipleItemSelectionAllowed="1" showAll="0" sortType="ascending" defaultSubtotal="0">
      <items>
        <item x="15"/>
        <item x="0"/>
        <item x="12"/>
        <item x="7"/>
        <item x="8"/>
        <item x="14"/>
        <item x="9"/>
        <item x="11"/>
        <item x="13"/>
        <item x="1"/>
        <item x="5"/>
        <item x="10"/>
        <item x="6"/>
        <item x="4"/>
        <item x="3"/>
        <item x="2"/>
      </items>
    </pivotField>
    <pivotField name="Llave UP_U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UNIDAD RESPONSABLE" axis="axisRow" compact="0" numFmtId="49" outline="0" multipleItemSelectionAllowed="1" showAll="0" sortType="ascending" defaultSubtotal="0">
      <items>
        <item x="26"/>
        <item x="9"/>
        <item x="15"/>
        <item x="19"/>
        <item x="1"/>
        <item x="2"/>
        <item x="14"/>
        <item x="3"/>
        <item x="17"/>
        <item x="8"/>
        <item x="11"/>
        <item x="5"/>
        <item x="23"/>
        <item x="10"/>
        <item x="21"/>
        <item x="7"/>
        <item x="16"/>
        <item x="4"/>
        <item x="24"/>
        <item x="20"/>
        <item x="13"/>
        <item x="25"/>
        <item x="18"/>
        <item x="6"/>
        <item x="12"/>
        <item x="0"/>
        <item x="22"/>
      </items>
    </pivotField>
    <pivotField name="AR" compact="0" numFmtId="49" outline="0" multipleItemSelectionAllowed="1" showAll="0">
      <items>
        <item x="0"/>
        <item x="1"/>
        <item x="2"/>
        <item t="default"/>
      </items>
    </pivotField>
    <pivotField name="RoL" axis="axisRow" compact="0" numFmtId="49" outline="0" multipleItemSelectionAllowed="1" showAll="0" sortType="ascending" defaultSubtotal="0">
      <items>
        <item x="2"/>
        <item x="1"/>
        <item x="0"/>
      </items>
    </pivotField>
    <pivotField name="Llave Component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t="default"/>
      </items>
    </pivotField>
    <pivotField name="ROP_LOP Asignada" axis="axisRow" compact="0" numFmtId="49" outline="0" multipleItemSelectionAllowed="1" showAll="0" sortType="ascending">
      <items>
        <item x="104"/>
        <item x="7"/>
        <item x="79"/>
        <item x="81"/>
        <item x="93"/>
        <item x="33"/>
        <item x="28"/>
        <item x="26"/>
        <item x="103"/>
        <item x="4"/>
        <item x="84"/>
        <item x="77"/>
        <item x="80"/>
        <item x="50"/>
        <item x="69"/>
        <item x="13"/>
        <item x="72"/>
        <item x="5"/>
        <item x="82"/>
        <item x="70"/>
        <item x="97"/>
        <item x="8"/>
        <item x="98"/>
        <item x="90"/>
        <item x="16"/>
        <item x="91"/>
        <item x="21"/>
        <item x="24"/>
        <item x="100"/>
        <item x="68"/>
        <item x="45"/>
        <item x="86"/>
        <item x="71"/>
        <item x="78"/>
        <item x="29"/>
        <item x="54"/>
        <item x="56"/>
        <item x="25"/>
        <item x="53"/>
        <item x="55"/>
        <item x="83"/>
        <item x="27"/>
        <item x="48"/>
        <item x="49"/>
        <item x="67"/>
        <item x="52"/>
        <item x="62"/>
        <item x="15"/>
        <item x="19"/>
        <item x="14"/>
        <item x="51"/>
        <item x="101"/>
        <item x="20"/>
        <item x="12"/>
        <item x="95"/>
        <item x="41"/>
        <item x="94"/>
        <item x="92"/>
        <item x="64"/>
        <item x="65"/>
        <item x="66"/>
        <item x="102"/>
        <item x="99"/>
        <item x="96"/>
        <item x="2"/>
        <item x="87"/>
        <item x="9"/>
        <item x="57"/>
        <item x="18"/>
        <item x="30"/>
        <item x="32"/>
        <item x="74"/>
        <item x="0"/>
        <item x="88"/>
        <item x="89"/>
        <item x="31"/>
        <item x="58"/>
        <item x="61"/>
        <item x="75"/>
        <item x="76"/>
        <item x="63"/>
        <item x="17"/>
        <item x="34"/>
        <item x="3"/>
        <item x="6"/>
        <item x="1"/>
        <item x="59"/>
        <item x="60"/>
        <item x="23"/>
        <item x="22"/>
        <item x="11"/>
        <item x="73"/>
        <item x="10"/>
        <item x="85"/>
        <item x="42"/>
        <item x="40"/>
        <item x="37"/>
        <item x="38"/>
        <item x="35"/>
        <item x="46"/>
        <item x="39"/>
        <item x="43"/>
        <item x="44"/>
        <item x="36"/>
        <item x="47"/>
        <item t="default"/>
      </items>
    </pivotField>
    <pivotField name="Estatal / Federal" compact="0" numFmtId="49" outline="0" multipleItemSelectionAllowed="1" showAll="0">
      <items>
        <item x="0"/>
        <item x="1"/>
        <item x="2"/>
        <item x="3"/>
        <item x="4"/>
        <item t="default"/>
      </items>
    </pivotField>
    <pivotField name="Clave ROP_LOP" axis="axisRow" compact="0" numFmtId="49" outline="0" multipleItemSelectionAllowed="1" showAll="0" sortType="ascending" defaultSubtotal="0">
      <items>
        <item x="10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h="1" x="103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</pivotFields>
  <rowFields>
    <field x="0"/>
    <field x="1"/>
    <field x="2"/>
    <field x="4"/>
    <field x="10"/>
    <field x="6"/>
    <field x="8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86" dT="2026-06-25T21:11:19.00" personId="{25f5eabf-fe88-4321-bee4-09fb72b64639}" id="{cc49baf0-5f50-4e72-880a-13eb15cdcc18}" done="1">
    <x18tc:text xml:space="preserve">Actalmente es un Lineamiento de Operación</x18tc:text>
  </x18tc:threadedComment>
  <x18tc:threadedComment ref="F16" dT="2026-06-25T21:15:11.00" personId="{25f5eabf-fe88-4321-bee4-09fb72b64639}" id="{5298d5ab-eb5a-40c5-a769-325a49962664}" done="1">
    <x18tc:text xml:space="preserve">Actualmente cuenta con clasificación Programpatica  E</x18tc:text>
  </x18tc:threadedComment>
  <x18tc:threadedComment ref="F16" dT="2026-06-25T21:43:13.00" personId="{25f5eabf-fe88-4321-bee4-09fb72b64639}" id="{a94b4d88-de05-4cad-88dc-c7ff14a36a20}" done="1">
    <x18tc:text xml:space="preserve">Actualmente cuenta con una clasificación programática con letra E</x18tc:text>
  </x18tc:threadedComment>
  <x18tc:threadedComment ref="I37" dT="2026-07-06T19:48:27.00" personId="{d588f755-4778-4ac3-b440-b15faef6ceff}" id="{7bd4eed0-cf44-4594-bfa5-0a45225cbe5d}" done="1">
    <x18tc:text xml:space="preserve">A la espera de confirmación del nombre de la ROP, sin embargo ese es el tema de la intervención.</x18tc:text>
  </x18tc:threadedComment>
  <x18tc:threadedComment ref="A1" dT="2026-07-06T19:50:38.00" personId="{d588f755-4778-4ac3-b440-b15faef6ceff}" id="{57366feb-1f43-4800-9540-a1243fb02836}" done="0">
    <x18tc:text xml:space="preserve">De momento se registra el nombre del componente; a la espera de nombre de la ROP.</x18tc:text>
  </x18tc:threadedComment>
  <x18tc:threadedComment ref="A1" dT="2026-08-03T23:05:51.00" personId="{e9e1fb8d-f948-4cb8-ad63-6b2a86cd3555}" id="{9a62354d-f2a3-4594-b6b3-01b8d11f20f1}" done="0">
    <x18tc:text xml:space="preserve">Le cambiaron la transversalidad</x18tc:text>
  </x18tc:threadedComment>
  <x18tc:threadedComment ref="I122" dT="2026-08-12T23:13:36.00" personId="{dac9c582-67e0-47da-840e-3f79f582095d}" id="{df2ba1e2-2b7d-45cd-9d5b-74290b0746d2}" done="1">
    <x18tc:text xml:space="preserve">Solo tiene recurso propio</x18tc:text>
  </x18tc:threadedComment>
  <x18tc:threadedComment ref="I120" dT="2026-08-12T23:13:08.00" personId="{dac9c582-67e0-47da-840e-3f79f582095d}" id="{b31cd7ed-42a8-45af-acfe-c2ec20c8a2b6}" done="1">
    <x18tc:text xml:space="preserve">Tiene recurso propio</x18tc:text>
  </x18tc:threadedComment>
  <x18tc:threadedComment ref="H33" dT="2026-09-15T18:45:08.00" personId="{d588f755-4778-4ac3-b440-b15faef6ceff}" id="{b47461d1-de0e-47d4-b614-4d8bb7e9ec82}" done="0">
    <x18tc:text xml:space="preserve">Se eliminó componente.</x18tc:text>
  </x18tc:threadedComment>
  <x18tc:threadedComment ref="H127" dT="2026-10-14T15:35:01.00" personId="{dac9c582-67e0-47da-840e-3f79f582095d}" id="{ff932e4d-2f32-4ebb-bd88-696a66e50400}" done="0">
    <x18tc:text xml:space="preserve">Componente anterior (cambió de transversalidad)</x18tc:text>
  </x18tc:threadedComment>
  <x18tc:threadedComment ref="H48" dT="2026-10-14T15:35:57.00" personId="{dac9c582-67e0-47da-840e-3f79f582095d}" id="{a204895e-58cf-4d20-af7f-93bb9067096f}" done="0">
    <x18tc:text xml:space="preserve">Componente anterior (cambió de transversalidad)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63"/>
    <col customWidth="1" min="2" max="2" width="18.63"/>
    <col customWidth="1" min="3" max="3" width="6.38"/>
    <col customWidth="1" min="4" max="4" width="10.75"/>
    <col customWidth="1" min="5" max="5" width="23.0"/>
    <col customWidth="1" min="6" max="6" width="6.63"/>
    <col customWidth="1" min="7" max="7" width="8.13"/>
    <col customWidth="1" min="8" max="8" width="17.75"/>
    <col customWidth="1" min="9" max="9" width="40.5"/>
    <col customWidth="1" min="10" max="10" width="20.75"/>
    <col customWidth="1" min="11" max="11" width="20.5"/>
    <col customWidth="1" min="12" max="12" width="23.63"/>
  </cols>
  <sheetData>
    <row r="1" ht="4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4" t="s">
        <v>11</v>
      </c>
      <c r="N1" s="4" t="s">
        <v>11</v>
      </c>
      <c r="O1" s="4" t="s">
        <v>11</v>
      </c>
      <c r="P1" s="4" t="s">
        <v>11</v>
      </c>
      <c r="Q1" s="4" t="s">
        <v>11</v>
      </c>
      <c r="R1" s="4" t="s">
        <v>11</v>
      </c>
      <c r="S1" s="4" t="s">
        <v>11</v>
      </c>
      <c r="T1" s="4" t="s">
        <v>11</v>
      </c>
      <c r="U1" s="4" t="s">
        <v>11</v>
      </c>
      <c r="V1" s="4" t="s">
        <v>11</v>
      </c>
      <c r="W1" s="4" t="s">
        <v>11</v>
      </c>
      <c r="X1" s="4" t="s">
        <v>11</v>
      </c>
      <c r="Y1" s="4" t="s">
        <v>11</v>
      </c>
      <c r="Z1" s="4" t="s">
        <v>11</v>
      </c>
      <c r="AA1" s="4" t="s">
        <v>11</v>
      </c>
    </row>
    <row r="2">
      <c r="A2" s="5" t="s">
        <v>12</v>
      </c>
      <c r="B2" s="5" t="s">
        <v>13</v>
      </c>
      <c r="C2" s="5" t="s">
        <v>14</v>
      </c>
      <c r="D2" s="6" t="s">
        <v>15</v>
      </c>
      <c r="E2" s="5" t="s">
        <v>13</v>
      </c>
      <c r="F2" s="5" t="s">
        <v>16</v>
      </c>
      <c r="G2" s="5" t="str">
        <f t="shared" ref="G2:G136" si="1">IF(F2="S","ROP","LOP")</f>
        <v>ROP</v>
      </c>
      <c r="H2" s="5" t="s">
        <v>17</v>
      </c>
      <c r="I2" s="5" t="s">
        <v>18</v>
      </c>
      <c r="J2" s="5" t="s">
        <v>19</v>
      </c>
      <c r="K2" s="5" t="str">
        <f>IFERROR(__xludf.DUMMYFUNCTION("TEXT(MATCH(I2,UNIQUE(FILTER($I$2:$I1064,$I$2:$I1064&lt;&gt;"""")),0),""000"")"),"001")</f>
        <v>001</v>
      </c>
      <c r="L2" s="5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 t="s">
        <v>12</v>
      </c>
      <c r="B3" s="5" t="s">
        <v>13</v>
      </c>
      <c r="C3" s="5" t="s">
        <v>14</v>
      </c>
      <c r="D3" s="6" t="s">
        <v>15</v>
      </c>
      <c r="E3" s="5" t="s">
        <v>13</v>
      </c>
      <c r="F3" s="5" t="s">
        <v>16</v>
      </c>
      <c r="G3" s="5" t="str">
        <f t="shared" si="1"/>
        <v>ROP</v>
      </c>
      <c r="H3" s="5" t="s">
        <v>20</v>
      </c>
      <c r="I3" s="5" t="s">
        <v>18</v>
      </c>
      <c r="J3" s="5" t="s">
        <v>19</v>
      </c>
      <c r="K3" s="5" t="str">
        <f>IFERROR(__xludf.DUMMYFUNCTION("TEXT(MATCH(I3,UNIQUE(FILTER($I$2:$I1064,$I$2:$I1064&lt;&gt;"""")),0),""000"")"),"001")</f>
        <v>001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 t="s">
        <v>12</v>
      </c>
      <c r="B4" s="5" t="s">
        <v>13</v>
      </c>
      <c r="C4" s="5" t="s">
        <v>14</v>
      </c>
      <c r="D4" s="6" t="s">
        <v>15</v>
      </c>
      <c r="E4" s="5" t="s">
        <v>13</v>
      </c>
      <c r="F4" s="5" t="s">
        <v>16</v>
      </c>
      <c r="G4" s="5" t="str">
        <f t="shared" si="1"/>
        <v>ROP</v>
      </c>
      <c r="H4" s="5" t="s">
        <v>21</v>
      </c>
      <c r="I4" s="5" t="s">
        <v>18</v>
      </c>
      <c r="J4" s="5" t="s">
        <v>19</v>
      </c>
      <c r="K4" s="5" t="str">
        <f>IFERROR(__xludf.DUMMYFUNCTION("TEXT(MATCH(I4,UNIQUE(FILTER($I$2:$I1064,$I$2:$I1064&lt;&gt;"""")),0),""000"")"),"001")</f>
        <v>001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 t="s">
        <v>12</v>
      </c>
      <c r="B5" s="5" t="s">
        <v>13</v>
      </c>
      <c r="C5" s="5" t="s">
        <v>14</v>
      </c>
      <c r="D5" s="6" t="s">
        <v>15</v>
      </c>
      <c r="E5" s="5" t="s">
        <v>13</v>
      </c>
      <c r="F5" s="5" t="s">
        <v>16</v>
      </c>
      <c r="G5" s="5" t="str">
        <f t="shared" si="1"/>
        <v>ROP</v>
      </c>
      <c r="H5" s="5" t="s">
        <v>22</v>
      </c>
      <c r="I5" s="5" t="s">
        <v>23</v>
      </c>
      <c r="J5" s="5" t="s">
        <v>19</v>
      </c>
      <c r="K5" s="5" t="str">
        <f>IFERROR(__xludf.DUMMYFUNCTION("TEXT(MATCH(I5,UNIQUE(FILTER($I$2:$I1064,$I$2:$I1064&lt;&gt;"""")),0),""000"")"),"002")</f>
        <v>002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 t="s">
        <v>12</v>
      </c>
      <c r="B6" s="5" t="s">
        <v>13</v>
      </c>
      <c r="C6" s="5" t="s">
        <v>14</v>
      </c>
      <c r="D6" s="6" t="s">
        <v>15</v>
      </c>
      <c r="E6" s="5" t="s">
        <v>13</v>
      </c>
      <c r="F6" s="5" t="s">
        <v>16</v>
      </c>
      <c r="G6" s="5" t="str">
        <f t="shared" si="1"/>
        <v>ROP</v>
      </c>
      <c r="H6" s="5" t="s">
        <v>24</v>
      </c>
      <c r="I6" s="5" t="s">
        <v>25</v>
      </c>
      <c r="J6" s="5" t="s">
        <v>19</v>
      </c>
      <c r="K6" s="5" t="str">
        <f>IFERROR(__xludf.DUMMYFUNCTION("TEXT(MATCH(I6,UNIQUE(FILTER($I$2:$I1064,$I$2:$I1064&lt;&gt;"""")),0),""000"")"),"003")</f>
        <v>003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 t="s">
        <v>12</v>
      </c>
      <c r="B7" s="5" t="s">
        <v>13</v>
      </c>
      <c r="C7" s="5" t="s">
        <v>14</v>
      </c>
      <c r="D7" s="6" t="s">
        <v>15</v>
      </c>
      <c r="E7" s="5" t="s">
        <v>13</v>
      </c>
      <c r="F7" s="5" t="s">
        <v>16</v>
      </c>
      <c r="G7" s="5" t="str">
        <f t="shared" si="1"/>
        <v>ROP</v>
      </c>
      <c r="H7" s="5" t="s">
        <v>33</v>
      </c>
      <c r="I7" s="5" t="s">
        <v>18</v>
      </c>
      <c r="J7" s="5" t="s">
        <v>19</v>
      </c>
      <c r="K7" s="5" t="str">
        <f>IFERROR(__xludf.DUMMYFUNCTION("TEXT(MATCH(I7,UNIQUE(FILTER($I$2:$I1064,$I$2:$I1064&lt;&gt;"""")),0),""000"")"),"001")</f>
        <v>001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 t="s">
        <v>12</v>
      </c>
      <c r="B8" s="5" t="s">
        <v>13</v>
      </c>
      <c r="C8" s="5" t="s">
        <v>14</v>
      </c>
      <c r="D8" s="6" t="s">
        <v>15</v>
      </c>
      <c r="E8" s="5" t="s">
        <v>13</v>
      </c>
      <c r="F8" s="5" t="s">
        <v>39</v>
      </c>
      <c r="G8" s="5" t="str">
        <f t="shared" si="1"/>
        <v>LOP</v>
      </c>
      <c r="H8" s="5" t="s">
        <v>41</v>
      </c>
      <c r="I8" s="5" t="s">
        <v>32</v>
      </c>
      <c r="J8" s="5" t="s">
        <v>19</v>
      </c>
      <c r="K8" s="5" t="str">
        <f>IFERROR(__xludf.DUMMYFUNCTION("TEXT(MATCH(I8,UNIQUE(FILTER($I$2:$I1064,$I$2:$I1064&lt;&gt;"""")),0),""000"")"),"004")</f>
        <v>004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 t="s">
        <v>12</v>
      </c>
      <c r="B9" s="5" t="s">
        <v>13</v>
      </c>
      <c r="C9" s="5" t="s">
        <v>14</v>
      </c>
      <c r="D9" s="6" t="s">
        <v>15</v>
      </c>
      <c r="E9" s="5" t="s">
        <v>13</v>
      </c>
      <c r="F9" s="5" t="s">
        <v>39</v>
      </c>
      <c r="G9" s="5" t="str">
        <f t="shared" si="1"/>
        <v>LOP</v>
      </c>
      <c r="H9" s="5" t="s">
        <v>54</v>
      </c>
      <c r="I9" s="5" t="s">
        <v>35</v>
      </c>
      <c r="J9" s="5" t="s">
        <v>19</v>
      </c>
      <c r="K9" s="5" t="str">
        <f>IFERROR(__xludf.DUMMYFUNCTION("TEXT(MATCH(I9,UNIQUE(FILTER($I$2:$I1064,$I$2:$I1064&lt;&gt;"""")),0),""000"")"),"005")</f>
        <v>005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 t="s">
        <v>12</v>
      </c>
      <c r="B10" s="5" t="s">
        <v>13</v>
      </c>
      <c r="C10" s="5" t="s">
        <v>14</v>
      </c>
      <c r="D10" s="6" t="s">
        <v>15</v>
      </c>
      <c r="E10" s="5" t="s">
        <v>13</v>
      </c>
      <c r="F10" s="5" t="s">
        <v>39</v>
      </c>
      <c r="G10" s="5" t="str">
        <f t="shared" si="1"/>
        <v>LOP</v>
      </c>
      <c r="H10" s="5" t="s">
        <v>65</v>
      </c>
      <c r="I10" s="5" t="s">
        <v>37</v>
      </c>
      <c r="J10" s="5" t="s">
        <v>19</v>
      </c>
      <c r="K10" s="5" t="str">
        <f>IFERROR(__xludf.DUMMYFUNCTION("TEXT(MATCH(I10,UNIQUE(FILTER($I$2:$I1064,$I$2:$I1064&lt;&gt;"""")),0),""000"")"),"006")</f>
        <v>006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 t="s">
        <v>12</v>
      </c>
      <c r="B11" s="5" t="s">
        <v>13</v>
      </c>
      <c r="C11" s="5" t="s">
        <v>14</v>
      </c>
      <c r="D11" s="6" t="s">
        <v>15</v>
      </c>
      <c r="E11" s="5" t="s">
        <v>13</v>
      </c>
      <c r="F11" s="5" t="s">
        <v>39</v>
      </c>
      <c r="G11" s="5" t="str">
        <f t="shared" si="1"/>
        <v>LOP</v>
      </c>
      <c r="H11" s="5" t="s">
        <v>73</v>
      </c>
      <c r="I11" s="5" t="s">
        <v>40</v>
      </c>
      <c r="J11" s="5" t="s">
        <v>19</v>
      </c>
      <c r="K11" s="5" t="str">
        <f>IFERROR(__xludf.DUMMYFUNCTION("TEXT(MATCH(I11,UNIQUE(FILTER($I$2:$I1064,$I$2:$I1064&lt;&gt;"""")),0),""000"")"),"007")</f>
        <v>007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 t="s">
        <v>12</v>
      </c>
      <c r="B12" s="5" t="s">
        <v>13</v>
      </c>
      <c r="C12" s="5" t="s">
        <v>42</v>
      </c>
      <c r="D12" s="6" t="s">
        <v>81</v>
      </c>
      <c r="E12" s="5" t="s">
        <v>43</v>
      </c>
      <c r="F12" s="5" t="s">
        <v>16</v>
      </c>
      <c r="G12" s="5" t="str">
        <f t="shared" si="1"/>
        <v>ROP</v>
      </c>
      <c r="H12" s="5" t="s">
        <v>86</v>
      </c>
      <c r="I12" s="5" t="s">
        <v>45</v>
      </c>
      <c r="J12" s="5" t="s">
        <v>19</v>
      </c>
      <c r="K12" s="5" t="str">
        <f>IFERROR(__xludf.DUMMYFUNCTION("TEXT(MATCH(I12,UNIQUE(FILTER($I$2:$I1064,$I$2:$I1064&lt;&gt;"""")),0),""000"")"),"008")</f>
        <v>008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 t="s">
        <v>12</v>
      </c>
      <c r="B13" s="5" t="s">
        <v>13</v>
      </c>
      <c r="C13" s="5" t="s">
        <v>42</v>
      </c>
      <c r="D13" s="6" t="s">
        <v>81</v>
      </c>
      <c r="E13" s="5" t="s">
        <v>43</v>
      </c>
      <c r="F13" s="5" t="s">
        <v>16</v>
      </c>
      <c r="G13" s="5" t="str">
        <f t="shared" si="1"/>
        <v>ROP</v>
      </c>
      <c r="H13" s="5" t="s">
        <v>98</v>
      </c>
      <c r="I13" s="5" t="s">
        <v>47</v>
      </c>
      <c r="J13" s="5" t="s">
        <v>19</v>
      </c>
      <c r="K13" s="5" t="str">
        <f>IFERROR(__xludf.DUMMYFUNCTION("TEXT(MATCH(I13,UNIQUE(FILTER($I$2:$I1064,$I$2:$I1064&lt;&gt;"""")),0),""000"")"),"009")</f>
        <v>009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 t="s">
        <v>12</v>
      </c>
      <c r="B14" s="5" t="s">
        <v>13</v>
      </c>
      <c r="C14" s="5" t="s">
        <v>48</v>
      </c>
      <c r="D14" s="5" t="s">
        <v>106</v>
      </c>
      <c r="E14" s="5" t="s">
        <v>49</v>
      </c>
      <c r="F14" s="5" t="s">
        <v>16</v>
      </c>
      <c r="G14" s="5" t="str">
        <f t="shared" si="1"/>
        <v>ROP</v>
      </c>
      <c r="H14" s="5" t="s">
        <v>109</v>
      </c>
      <c r="I14" s="5" t="s">
        <v>51</v>
      </c>
      <c r="J14" s="5" t="s">
        <v>19</v>
      </c>
      <c r="K14" s="5" t="str">
        <f>IFERROR(__xludf.DUMMYFUNCTION("TEXT(MATCH(I14,UNIQUE(FILTER($I$2:$I1064,$I$2:$I1064&lt;&gt;"""")),0),""000"")"),"010")</f>
        <v>010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9" t="s">
        <v>52</v>
      </c>
      <c r="B15" s="5" t="s">
        <v>53</v>
      </c>
      <c r="C15" s="5" t="s">
        <v>55</v>
      </c>
      <c r="D15" s="6" t="s">
        <v>118</v>
      </c>
      <c r="E15" s="5" t="s">
        <v>56</v>
      </c>
      <c r="F15" s="5" t="s">
        <v>16</v>
      </c>
      <c r="G15" s="5" t="str">
        <f t="shared" si="1"/>
        <v>ROP</v>
      </c>
      <c r="H15" s="5" t="s">
        <v>122</v>
      </c>
      <c r="I15" s="5" t="s">
        <v>58</v>
      </c>
      <c r="J15" s="5" t="s">
        <v>19</v>
      </c>
      <c r="K15" s="5" t="str">
        <f>IFERROR(__xludf.DUMMYFUNCTION("TEXT(MATCH(I15,UNIQUE(FILTER($I$2:$I1064,$I$2:$I1064&lt;&gt;"""")),0),""000"")"),"011")</f>
        <v>011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9" t="s">
        <v>52</v>
      </c>
      <c r="B16" s="5" t="s">
        <v>53</v>
      </c>
      <c r="C16" s="5" t="s">
        <v>55</v>
      </c>
      <c r="D16" s="6" t="s">
        <v>118</v>
      </c>
      <c r="E16" s="5" t="s">
        <v>56</v>
      </c>
      <c r="F16" s="5" t="s">
        <v>39</v>
      </c>
      <c r="G16" s="5" t="str">
        <f t="shared" si="1"/>
        <v>LOP</v>
      </c>
      <c r="H16" s="5" t="s">
        <v>138</v>
      </c>
      <c r="I16" s="5" t="s">
        <v>60</v>
      </c>
      <c r="J16" s="5" t="s">
        <v>19</v>
      </c>
      <c r="K16" s="5" t="str">
        <f>IFERROR(__xludf.DUMMYFUNCTION("TEXT(MATCH(I16,UNIQUE(FILTER($I$2:$I1064,$I$2:$I1064&lt;&gt;"""")),0),""000"")"),"012")</f>
        <v>012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 t="s">
        <v>72</v>
      </c>
      <c r="B17" s="5" t="s">
        <v>74</v>
      </c>
      <c r="C17" s="5" t="s">
        <v>14</v>
      </c>
      <c r="D17" s="6" t="s">
        <v>150</v>
      </c>
      <c r="E17" s="5" t="s">
        <v>74</v>
      </c>
      <c r="F17" s="5" t="s">
        <v>16</v>
      </c>
      <c r="G17" s="5" t="str">
        <f t="shared" si="1"/>
        <v>ROP</v>
      </c>
      <c r="H17" s="5" t="s">
        <v>152</v>
      </c>
      <c r="I17" s="5" t="s">
        <v>76</v>
      </c>
      <c r="J17" s="5" t="s">
        <v>19</v>
      </c>
      <c r="K17" s="5" t="str">
        <f>IFERROR(__xludf.DUMMYFUNCTION("TEXT(MATCH(I17,UNIQUE(FILTER($I$2:$I1064,$I$2:$I1064&lt;&gt;"""")),0),""000"")"),"013")</f>
        <v>013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 t="s">
        <v>72</v>
      </c>
      <c r="B18" s="5" t="s">
        <v>74</v>
      </c>
      <c r="C18" s="5" t="s">
        <v>14</v>
      </c>
      <c r="D18" s="6" t="s">
        <v>150</v>
      </c>
      <c r="E18" s="5" t="s">
        <v>74</v>
      </c>
      <c r="F18" s="5" t="s">
        <v>16</v>
      </c>
      <c r="G18" s="5" t="str">
        <f t="shared" si="1"/>
        <v>ROP</v>
      </c>
      <c r="H18" s="5" t="s">
        <v>161</v>
      </c>
      <c r="I18" s="5" t="s">
        <v>78</v>
      </c>
      <c r="J18" s="5" t="s">
        <v>19</v>
      </c>
      <c r="K18" s="5" t="str">
        <f>IFERROR(__xludf.DUMMYFUNCTION("TEXT(MATCH(I18,UNIQUE(FILTER($I$2:$I1064,$I$2:$I1064&lt;&gt;"""")),0),""000"")"),"014")</f>
        <v>014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 t="s">
        <v>72</v>
      </c>
      <c r="B19" s="5" t="s">
        <v>74</v>
      </c>
      <c r="C19" s="5" t="s">
        <v>14</v>
      </c>
      <c r="D19" s="6" t="s">
        <v>150</v>
      </c>
      <c r="E19" s="5" t="s">
        <v>74</v>
      </c>
      <c r="F19" s="5" t="s">
        <v>16</v>
      </c>
      <c r="G19" s="5" t="str">
        <f t="shared" si="1"/>
        <v>ROP</v>
      </c>
      <c r="H19" s="5" t="s">
        <v>168</v>
      </c>
      <c r="I19" s="5" t="s">
        <v>80</v>
      </c>
      <c r="J19" s="5" t="s">
        <v>19</v>
      </c>
      <c r="K19" s="5" t="str">
        <f>IFERROR(__xludf.DUMMYFUNCTION("TEXT(MATCH(I19,UNIQUE(FILTER($I$2:$I1064,$I$2:$I1064&lt;&gt;"""")),0),""000"")"),"015")</f>
        <v>015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 t="s">
        <v>72</v>
      </c>
      <c r="B20" s="5" t="s">
        <v>74</v>
      </c>
      <c r="C20" s="5" t="s">
        <v>82</v>
      </c>
      <c r="D20" s="6" t="s">
        <v>177</v>
      </c>
      <c r="E20" s="5" t="s">
        <v>83</v>
      </c>
      <c r="F20" s="5" t="s">
        <v>39</v>
      </c>
      <c r="G20" s="5" t="str">
        <f t="shared" si="1"/>
        <v>LOP</v>
      </c>
      <c r="H20" s="5" t="s">
        <v>180</v>
      </c>
      <c r="I20" s="5" t="s">
        <v>85</v>
      </c>
      <c r="J20" s="5" t="s">
        <v>19</v>
      </c>
      <c r="K20" s="5" t="str">
        <f>IFERROR(__xludf.DUMMYFUNCTION("TEXT(MATCH(I20,UNIQUE(FILTER($I$2:$I1064,$I$2:$I1064&lt;&gt;"""")),0),""000"")"),"016")</f>
        <v>016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 t="s">
        <v>72</v>
      </c>
      <c r="B21" s="5" t="s">
        <v>74</v>
      </c>
      <c r="C21" s="5" t="s">
        <v>82</v>
      </c>
      <c r="D21" s="6" t="s">
        <v>177</v>
      </c>
      <c r="E21" s="5" t="s">
        <v>83</v>
      </c>
      <c r="F21" s="5" t="s">
        <v>16</v>
      </c>
      <c r="G21" s="5" t="str">
        <f t="shared" si="1"/>
        <v>ROP</v>
      </c>
      <c r="H21" s="5" t="s">
        <v>188</v>
      </c>
      <c r="I21" s="5" t="s">
        <v>88</v>
      </c>
      <c r="J21" s="5" t="s">
        <v>19</v>
      </c>
      <c r="K21" s="5" t="str">
        <f>IFERROR(__xludf.DUMMYFUNCTION("TEXT(MATCH(I21,UNIQUE(FILTER($I$2:$I1064,$I$2:$I1064&lt;&gt;"""")),0),""000"")"),"017")</f>
        <v>017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 t="s">
        <v>89</v>
      </c>
      <c r="B22" s="5" t="s">
        <v>90</v>
      </c>
      <c r="C22" s="5" t="s">
        <v>14</v>
      </c>
      <c r="D22" s="6" t="s">
        <v>200</v>
      </c>
      <c r="E22" s="5" t="s">
        <v>90</v>
      </c>
      <c r="F22" s="5" t="s">
        <v>39</v>
      </c>
      <c r="G22" s="5" t="str">
        <f t="shared" si="1"/>
        <v>LOP</v>
      </c>
      <c r="H22" s="5" t="s">
        <v>204</v>
      </c>
      <c r="I22" s="5" t="s">
        <v>92</v>
      </c>
      <c r="J22" s="5" t="s">
        <v>19</v>
      </c>
      <c r="K22" s="5" t="str">
        <f>IFERROR(__xludf.DUMMYFUNCTION("TEXT(MATCH(I22,UNIQUE(FILTER($I$2:$I1064,$I$2:$I1064&lt;&gt;"""")),0),""000"")"),"018")</f>
        <v>018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 t="s">
        <v>89</v>
      </c>
      <c r="B23" s="5" t="s">
        <v>90</v>
      </c>
      <c r="C23" s="5" t="s">
        <v>14</v>
      </c>
      <c r="D23" s="6" t="s">
        <v>200</v>
      </c>
      <c r="E23" s="5" t="s">
        <v>90</v>
      </c>
      <c r="F23" s="5" t="s">
        <v>16</v>
      </c>
      <c r="G23" s="5" t="str">
        <f t="shared" si="1"/>
        <v>ROP</v>
      </c>
      <c r="H23" s="5" t="s">
        <v>211</v>
      </c>
      <c r="I23" s="5" t="s">
        <v>94</v>
      </c>
      <c r="J23" s="5" t="s">
        <v>19</v>
      </c>
      <c r="K23" s="5" t="str">
        <f>IFERROR(__xludf.DUMMYFUNCTION("TEXT(MATCH(I23,UNIQUE(FILTER($I$2:$I1064,$I$2:$I1064&lt;&gt;"""")),0),""000"")"),"019")</f>
        <v>019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 t="s">
        <v>95</v>
      </c>
      <c r="B24" s="5" t="s">
        <v>96</v>
      </c>
      <c r="C24" s="5" t="s">
        <v>14</v>
      </c>
      <c r="D24" s="6" t="s">
        <v>219</v>
      </c>
      <c r="E24" s="5" t="s">
        <v>96</v>
      </c>
      <c r="F24" s="5" t="s">
        <v>16</v>
      </c>
      <c r="G24" s="5" t="str">
        <f t="shared" si="1"/>
        <v>ROP</v>
      </c>
      <c r="H24" s="5" t="s">
        <v>222</v>
      </c>
      <c r="I24" s="5" t="s">
        <v>99</v>
      </c>
      <c r="J24" s="5" t="s">
        <v>19</v>
      </c>
      <c r="K24" s="5" t="str">
        <f>IFERROR(__xludf.DUMMYFUNCTION("TEXT(MATCH(I24,UNIQUE(FILTER($I$2:$I1064,$I$2:$I1064&lt;&gt;"""")),0),""000"")"),"020")</f>
        <v>020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 t="s">
        <v>95</v>
      </c>
      <c r="B25" s="5" t="s">
        <v>96</v>
      </c>
      <c r="C25" s="5" t="s">
        <v>14</v>
      </c>
      <c r="D25" s="6" t="s">
        <v>219</v>
      </c>
      <c r="E25" s="5" t="s">
        <v>96</v>
      </c>
      <c r="F25" s="5" t="s">
        <v>16</v>
      </c>
      <c r="G25" s="5" t="str">
        <f t="shared" si="1"/>
        <v>ROP</v>
      </c>
      <c r="H25" s="5" t="s">
        <v>236</v>
      </c>
      <c r="I25" s="5" t="s">
        <v>101</v>
      </c>
      <c r="J25" s="5" t="s">
        <v>19</v>
      </c>
      <c r="K25" s="5" t="str">
        <f>IFERROR(__xludf.DUMMYFUNCTION("TEXT(MATCH(I25,UNIQUE(FILTER($I$2:$I1064,$I$2:$I1064&lt;&gt;"""")),0),""000"")"),"021")</f>
        <v>021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 t="s">
        <v>95</v>
      </c>
      <c r="B26" s="5" t="s">
        <v>96</v>
      </c>
      <c r="C26" s="5" t="s">
        <v>14</v>
      </c>
      <c r="D26" s="6" t="s">
        <v>219</v>
      </c>
      <c r="E26" s="5" t="s">
        <v>96</v>
      </c>
      <c r="F26" s="5" t="s">
        <v>16</v>
      </c>
      <c r="G26" s="5" t="str">
        <f t="shared" si="1"/>
        <v>ROP</v>
      </c>
      <c r="H26" s="5" t="s">
        <v>249</v>
      </c>
      <c r="I26" s="5" t="s">
        <v>103</v>
      </c>
      <c r="J26" s="5" t="s">
        <v>19</v>
      </c>
      <c r="K26" s="5" t="str">
        <f>IFERROR(__xludf.DUMMYFUNCTION("TEXT(MATCH(I26,UNIQUE(FILTER($I$2:$I1064,$I$2:$I1064&lt;&gt;"""")),0),""000"")"),"022")</f>
        <v>022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 t="s">
        <v>95</v>
      </c>
      <c r="B27" s="5" t="s">
        <v>96</v>
      </c>
      <c r="C27" s="5" t="s">
        <v>14</v>
      </c>
      <c r="D27" s="6" t="s">
        <v>219</v>
      </c>
      <c r="E27" s="5" t="s">
        <v>96</v>
      </c>
      <c r="F27" s="5" t="s">
        <v>16</v>
      </c>
      <c r="G27" s="5" t="str">
        <f t="shared" si="1"/>
        <v>ROP</v>
      </c>
      <c r="H27" s="5" t="s">
        <v>257</v>
      </c>
      <c r="I27" s="5" t="s">
        <v>105</v>
      </c>
      <c r="J27" s="5" t="s">
        <v>19</v>
      </c>
      <c r="K27" s="5" t="str">
        <f>IFERROR(__xludf.DUMMYFUNCTION("TEXT(MATCH(I27,UNIQUE(FILTER($I$2:$I1064,$I$2:$I1064&lt;&gt;"""")),0),""000"")"),"023")</f>
        <v>023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 t="s">
        <v>95</v>
      </c>
      <c r="B28" s="5" t="s">
        <v>96</v>
      </c>
      <c r="C28" s="5" t="s">
        <v>14</v>
      </c>
      <c r="D28" s="6" t="s">
        <v>219</v>
      </c>
      <c r="E28" s="5" t="s">
        <v>96</v>
      </c>
      <c r="F28" s="5" t="s">
        <v>39</v>
      </c>
      <c r="G28" s="5" t="str">
        <f t="shared" si="1"/>
        <v>LOP</v>
      </c>
      <c r="H28" s="5" t="s">
        <v>271</v>
      </c>
      <c r="I28" s="5" t="s">
        <v>108</v>
      </c>
      <c r="J28" s="5" t="s">
        <v>19</v>
      </c>
      <c r="K28" s="5" t="str">
        <f>IFERROR(__xludf.DUMMYFUNCTION("TEXT(MATCH(I28,UNIQUE(FILTER($I$2:$I1064,$I$2:$I1064&lt;&gt;"""")),0),""000"")"),"024")</f>
        <v>024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 t="s">
        <v>95</v>
      </c>
      <c r="B29" s="5" t="s">
        <v>96</v>
      </c>
      <c r="C29" s="5" t="s">
        <v>14</v>
      </c>
      <c r="D29" s="6" t="s">
        <v>219</v>
      </c>
      <c r="E29" s="5" t="s">
        <v>96</v>
      </c>
      <c r="F29" s="5" t="s">
        <v>39</v>
      </c>
      <c r="G29" s="5" t="str">
        <f t="shared" si="1"/>
        <v>LOP</v>
      </c>
      <c r="H29" s="5" t="s">
        <v>276</v>
      </c>
      <c r="I29" s="5" t="s">
        <v>111</v>
      </c>
      <c r="J29" s="5" t="s">
        <v>19</v>
      </c>
      <c r="K29" s="5" t="str">
        <f>IFERROR(__xludf.DUMMYFUNCTION("TEXT(MATCH(I29,UNIQUE(FILTER($I$2:$I1064,$I$2:$I1064&lt;&gt;"""")),0),""000"")"),"025")</f>
        <v>025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 t="s">
        <v>95</v>
      </c>
      <c r="B30" s="5" t="s">
        <v>96</v>
      </c>
      <c r="C30" s="5" t="s">
        <v>14</v>
      </c>
      <c r="D30" s="6" t="s">
        <v>219</v>
      </c>
      <c r="E30" s="5" t="s">
        <v>96</v>
      </c>
      <c r="F30" s="5" t="s">
        <v>16</v>
      </c>
      <c r="G30" s="5" t="str">
        <f t="shared" si="1"/>
        <v>ROP</v>
      </c>
      <c r="H30" s="5" t="s">
        <v>285</v>
      </c>
      <c r="I30" s="5" t="s">
        <v>113</v>
      </c>
      <c r="J30" s="5" t="s">
        <v>19</v>
      </c>
      <c r="K30" s="5" t="str">
        <f>IFERROR(__xludf.DUMMYFUNCTION("TEXT(MATCH(I30,UNIQUE(FILTER($I$2:$I1064,$I$2:$I1064&lt;&gt;"""")),0),""000"")"),"026")</f>
        <v>026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 t="s">
        <v>95</v>
      </c>
      <c r="B31" s="5" t="s">
        <v>96</v>
      </c>
      <c r="C31" s="5" t="s">
        <v>14</v>
      </c>
      <c r="D31" s="6" t="s">
        <v>219</v>
      </c>
      <c r="E31" s="5" t="s">
        <v>96</v>
      </c>
      <c r="F31" s="5" t="s">
        <v>16</v>
      </c>
      <c r="G31" s="5" t="str">
        <f t="shared" si="1"/>
        <v>ROP</v>
      </c>
      <c r="H31" s="5" t="s">
        <v>291</v>
      </c>
      <c r="I31" s="5" t="s">
        <v>115</v>
      </c>
      <c r="J31" s="5" t="s">
        <v>19</v>
      </c>
      <c r="K31" s="5" t="str">
        <f>IFERROR(__xludf.DUMMYFUNCTION("TEXT(MATCH(I31,UNIQUE(FILTER($I$2:$I1064,$I$2:$I1064&lt;&gt;"""")),0),""000"")"),"027")</f>
        <v>027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 t="s">
        <v>95</v>
      </c>
      <c r="B32" s="5" t="s">
        <v>96</v>
      </c>
      <c r="C32" s="5" t="s">
        <v>14</v>
      </c>
      <c r="D32" s="6" t="s">
        <v>219</v>
      </c>
      <c r="E32" s="5" t="s">
        <v>96</v>
      </c>
      <c r="F32" s="5" t="s">
        <v>16</v>
      </c>
      <c r="G32" s="5" t="str">
        <f t="shared" si="1"/>
        <v>ROP</v>
      </c>
      <c r="H32" s="5" t="s">
        <v>300</v>
      </c>
      <c r="I32" s="5" t="s">
        <v>117</v>
      </c>
      <c r="J32" s="5" t="s">
        <v>19</v>
      </c>
      <c r="K32" s="5" t="str">
        <f>IFERROR(__xludf.DUMMYFUNCTION("TEXT(MATCH(I32,UNIQUE(FILTER($I$2:$I1064,$I$2:$I1064&lt;&gt;"""")),0),""000"")"),"028")</f>
        <v>028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10" t="s">
        <v>95</v>
      </c>
      <c r="B33" s="10" t="s">
        <v>96</v>
      </c>
      <c r="C33" s="10" t="s">
        <v>14</v>
      </c>
      <c r="D33" s="11" t="s">
        <v>219</v>
      </c>
      <c r="E33" s="10" t="s">
        <v>96</v>
      </c>
      <c r="F33" s="10" t="s">
        <v>16</v>
      </c>
      <c r="G33" s="10" t="str">
        <f t="shared" si="1"/>
        <v>ROP</v>
      </c>
      <c r="H33" s="10" t="s">
        <v>315</v>
      </c>
      <c r="I33" s="10" t="s">
        <v>117</v>
      </c>
      <c r="J33" s="10" t="s">
        <v>19</v>
      </c>
      <c r="K33" s="10" t="str">
        <f>IFERROR(__xludf.DUMMYFUNCTION("TEXT(MATCH(I33,UNIQUE(FILTER($I$2:$I1064,$I$2:$I1064&lt;&gt;"""")),0),""000"")"),"028")</f>
        <v>028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 t="s">
        <v>95</v>
      </c>
      <c r="B34" s="5" t="s">
        <v>96</v>
      </c>
      <c r="C34" s="5" t="s">
        <v>14</v>
      </c>
      <c r="D34" s="6" t="s">
        <v>219</v>
      </c>
      <c r="E34" s="5" t="s">
        <v>96</v>
      </c>
      <c r="F34" s="5" t="s">
        <v>16</v>
      </c>
      <c r="G34" s="5" t="str">
        <f t="shared" si="1"/>
        <v>ROP</v>
      </c>
      <c r="H34" s="5" t="s">
        <v>319</v>
      </c>
      <c r="I34" s="5" t="s">
        <v>120</v>
      </c>
      <c r="J34" s="5" t="s">
        <v>19</v>
      </c>
      <c r="K34" s="5" t="str">
        <f>IFERROR(__xludf.DUMMYFUNCTION("TEXT(MATCH(I34,UNIQUE(FILTER($I$2:$I1064,$I$2:$I1064&lt;&gt;"""")),0),""000"")"),"029")</f>
        <v>029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 t="s">
        <v>95</v>
      </c>
      <c r="B35" s="5" t="s">
        <v>96</v>
      </c>
      <c r="C35" s="5" t="s">
        <v>121</v>
      </c>
      <c r="D35" s="5" t="s">
        <v>320</v>
      </c>
      <c r="E35" s="5" t="s">
        <v>123</v>
      </c>
      <c r="F35" s="5" t="s">
        <v>39</v>
      </c>
      <c r="G35" s="5" t="str">
        <f t="shared" si="1"/>
        <v>LOP</v>
      </c>
      <c r="H35" s="5" t="s">
        <v>321</v>
      </c>
      <c r="I35" s="5" t="s">
        <v>125</v>
      </c>
      <c r="J35" s="5" t="s">
        <v>19</v>
      </c>
      <c r="K35" s="5" t="str">
        <f>IFERROR(__xludf.DUMMYFUNCTION("TEXT(MATCH(I35,UNIQUE(FILTER($I$2:$I1064,$I$2:$I1064&lt;&gt;"""")),0),""000"")"),"030")</f>
        <v>030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 t="s">
        <v>95</v>
      </c>
      <c r="B36" s="5" t="s">
        <v>96</v>
      </c>
      <c r="C36" s="5" t="s">
        <v>126</v>
      </c>
      <c r="D36" s="6" t="s">
        <v>322</v>
      </c>
      <c r="E36" s="5" t="s">
        <v>127</v>
      </c>
      <c r="F36" s="5" t="s">
        <v>39</v>
      </c>
      <c r="G36" s="5" t="str">
        <f t="shared" si="1"/>
        <v>LOP</v>
      </c>
      <c r="H36" s="5" t="s">
        <v>323</v>
      </c>
      <c r="I36" s="5" t="s">
        <v>129</v>
      </c>
      <c r="J36" s="5" t="s">
        <v>19</v>
      </c>
      <c r="K36" s="5" t="str">
        <f>IFERROR(__xludf.DUMMYFUNCTION("TEXT(MATCH(I36,UNIQUE(FILTER($I$2:$I1064,$I$2:$I1064&lt;&gt;"""")),0),""000"")"),"031")</f>
        <v>031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 t="s">
        <v>95</v>
      </c>
      <c r="B37" s="5" t="s">
        <v>96</v>
      </c>
      <c r="C37" s="5" t="s">
        <v>126</v>
      </c>
      <c r="D37" s="6" t="s">
        <v>322</v>
      </c>
      <c r="E37" s="5" t="s">
        <v>127</v>
      </c>
      <c r="F37" s="5" t="s">
        <v>16</v>
      </c>
      <c r="G37" s="5" t="str">
        <f t="shared" si="1"/>
        <v>ROP</v>
      </c>
      <c r="H37" s="5" t="s">
        <v>324</v>
      </c>
      <c r="I37" s="5" t="s">
        <v>131</v>
      </c>
      <c r="J37" s="5" t="s">
        <v>19</v>
      </c>
      <c r="K37" s="5" t="str">
        <f>IFERROR(__xludf.DUMMYFUNCTION("TEXT(MATCH(I37,UNIQUE(FILTER($I$2:$I1064,$I$2:$I1064&lt;&gt;"""")),0),""000"")"),"032")</f>
        <v>032</v>
      </c>
      <c r="L37" s="5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 t="s">
        <v>95</v>
      </c>
      <c r="B38" s="5" t="s">
        <v>96</v>
      </c>
      <c r="C38" s="5" t="s">
        <v>126</v>
      </c>
      <c r="D38" s="6" t="s">
        <v>322</v>
      </c>
      <c r="E38" s="5" t="s">
        <v>127</v>
      </c>
      <c r="F38" s="5" t="s">
        <v>39</v>
      </c>
      <c r="G38" s="5" t="str">
        <f t="shared" si="1"/>
        <v>LOP</v>
      </c>
      <c r="H38" s="5" t="s">
        <v>325</v>
      </c>
      <c r="I38" s="5" t="s">
        <v>133</v>
      </c>
      <c r="J38" s="5" t="s">
        <v>19</v>
      </c>
      <c r="K38" s="5" t="str">
        <f>IFERROR(__xludf.DUMMYFUNCTION("TEXT(MATCH(I38,UNIQUE(FILTER($I$2:$I1064,$I$2:$I1064&lt;&gt;"""")),0),""000"")"),"033")</f>
        <v>033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 t="s">
        <v>134</v>
      </c>
      <c r="B39" s="5" t="s">
        <v>135</v>
      </c>
      <c r="C39" s="9" t="s">
        <v>136</v>
      </c>
      <c r="D39" s="6" t="s">
        <v>326</v>
      </c>
      <c r="E39" s="5" t="s">
        <v>137</v>
      </c>
      <c r="F39" s="5" t="s">
        <v>16</v>
      </c>
      <c r="G39" s="5" t="str">
        <f t="shared" si="1"/>
        <v>ROP</v>
      </c>
      <c r="H39" s="5" t="s">
        <v>327</v>
      </c>
      <c r="I39" s="5" t="s">
        <v>140</v>
      </c>
      <c r="J39" s="5" t="s">
        <v>19</v>
      </c>
      <c r="K39" s="5" t="str">
        <f>IFERROR(__xludf.DUMMYFUNCTION("TEXT(MATCH(I39,UNIQUE(FILTER($I$2:$I1064,$I$2:$I1064&lt;&gt;"""")),0),""000"")"),"034")</f>
        <v>034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 t="s">
        <v>134</v>
      </c>
      <c r="B40" s="5" t="s">
        <v>135</v>
      </c>
      <c r="C40" s="9" t="s">
        <v>136</v>
      </c>
      <c r="D40" s="6" t="s">
        <v>326</v>
      </c>
      <c r="E40" s="5" t="s">
        <v>137</v>
      </c>
      <c r="F40" s="5" t="s">
        <v>16</v>
      </c>
      <c r="G40" s="5" t="str">
        <f t="shared" si="1"/>
        <v>ROP</v>
      </c>
      <c r="H40" s="5" t="s">
        <v>328</v>
      </c>
      <c r="I40" s="5" t="s">
        <v>140</v>
      </c>
      <c r="J40" s="5" t="s">
        <v>19</v>
      </c>
      <c r="K40" s="5" t="str">
        <f>IFERROR(__xludf.DUMMYFUNCTION("TEXT(MATCH(I40,UNIQUE(FILTER($I$2:$I1064,$I$2:$I1064&lt;&gt;"""")),0),""000"")"),"034")</f>
        <v>034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 t="s">
        <v>134</v>
      </c>
      <c r="B41" s="5" t="s">
        <v>135</v>
      </c>
      <c r="C41" s="9" t="s">
        <v>136</v>
      </c>
      <c r="D41" s="6" t="s">
        <v>326</v>
      </c>
      <c r="E41" s="5" t="s">
        <v>137</v>
      </c>
      <c r="F41" s="5" t="s">
        <v>16</v>
      </c>
      <c r="G41" s="5" t="str">
        <f t="shared" si="1"/>
        <v>ROP</v>
      </c>
      <c r="H41" s="5" t="s">
        <v>329</v>
      </c>
      <c r="I41" s="5" t="s">
        <v>140</v>
      </c>
      <c r="J41" s="5" t="s">
        <v>19</v>
      </c>
      <c r="K41" s="5" t="str">
        <f>IFERROR(__xludf.DUMMYFUNCTION("TEXT(MATCH(I41,UNIQUE(FILTER($I$2:$I1064,$I$2:$I1064&lt;&gt;"""")),0),""000"")"),"034")</f>
        <v>034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 t="s">
        <v>134</v>
      </c>
      <c r="B42" s="5" t="s">
        <v>135</v>
      </c>
      <c r="C42" s="9" t="s">
        <v>141</v>
      </c>
      <c r="D42" s="6" t="s">
        <v>330</v>
      </c>
      <c r="E42" s="5" t="s">
        <v>142</v>
      </c>
      <c r="F42" s="5" t="s">
        <v>16</v>
      </c>
      <c r="G42" s="5" t="str">
        <f t="shared" si="1"/>
        <v>ROP</v>
      </c>
      <c r="H42" s="5" t="s">
        <v>331</v>
      </c>
      <c r="I42" s="5" t="s">
        <v>144</v>
      </c>
      <c r="J42" s="5" t="s">
        <v>19</v>
      </c>
      <c r="K42" s="5" t="str">
        <f>IFERROR(__xludf.DUMMYFUNCTION("TEXT(MATCH(I42,UNIQUE(FILTER($I$2:$I1064,$I$2:$I1064&lt;&gt;"""")),0),""000"")"),"035")</f>
        <v>035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 t="s">
        <v>145</v>
      </c>
      <c r="B43" s="5" t="s">
        <v>146</v>
      </c>
      <c r="C43" s="5" t="s">
        <v>14</v>
      </c>
      <c r="D43" s="6" t="s">
        <v>332</v>
      </c>
      <c r="E43" s="5" t="s">
        <v>146</v>
      </c>
      <c r="F43" s="5" t="s">
        <v>39</v>
      </c>
      <c r="G43" s="5" t="str">
        <f t="shared" si="1"/>
        <v>LOP</v>
      </c>
      <c r="H43" s="5" t="s">
        <v>333</v>
      </c>
      <c r="I43" s="5" t="s">
        <v>148</v>
      </c>
      <c r="J43" s="5" t="s">
        <v>19</v>
      </c>
      <c r="K43" s="5" t="str">
        <f>IFERROR(__xludf.DUMMYFUNCTION("TEXT(MATCH(I43,UNIQUE(FILTER($I$2:$I1064,$I$2:$I1064&lt;&gt;"""")),0),""000"")"),"036")</f>
        <v>036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 t="s">
        <v>145</v>
      </c>
      <c r="B44" s="5" t="s">
        <v>146</v>
      </c>
      <c r="C44" s="5" t="s">
        <v>14</v>
      </c>
      <c r="D44" s="6" t="s">
        <v>332</v>
      </c>
      <c r="E44" s="5" t="s">
        <v>146</v>
      </c>
      <c r="F44" s="5" t="s">
        <v>16</v>
      </c>
      <c r="G44" s="5" t="str">
        <f t="shared" si="1"/>
        <v>ROP</v>
      </c>
      <c r="H44" s="5" t="s">
        <v>334</v>
      </c>
      <c r="I44" s="5" t="s">
        <v>151</v>
      </c>
      <c r="J44" s="5" t="s">
        <v>19</v>
      </c>
      <c r="K44" s="5" t="str">
        <f>IFERROR(__xludf.DUMMYFUNCTION("TEXT(MATCH(I44,UNIQUE(FILTER($I$2:$I1064,$I$2:$I1064&lt;&gt;"""")),0),""000"")"),"037")</f>
        <v>037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 t="s">
        <v>145</v>
      </c>
      <c r="B45" s="5" t="s">
        <v>146</v>
      </c>
      <c r="C45" s="5" t="s">
        <v>14</v>
      </c>
      <c r="D45" s="6" t="s">
        <v>332</v>
      </c>
      <c r="E45" s="5" t="s">
        <v>146</v>
      </c>
      <c r="F45" s="5" t="s">
        <v>16</v>
      </c>
      <c r="G45" s="5" t="str">
        <f t="shared" si="1"/>
        <v>ROP</v>
      </c>
      <c r="H45" s="5" t="s">
        <v>335</v>
      </c>
      <c r="I45" s="5" t="s">
        <v>151</v>
      </c>
      <c r="J45" s="5" t="s">
        <v>19</v>
      </c>
      <c r="K45" s="5" t="str">
        <f>IFERROR(__xludf.DUMMYFUNCTION("TEXT(MATCH(I45,UNIQUE(FILTER($I$2:$I1064,$I$2:$I1064&lt;&gt;"""")),0),""000"")"),"037")</f>
        <v>037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 t="s">
        <v>145</v>
      </c>
      <c r="B46" s="5" t="s">
        <v>146</v>
      </c>
      <c r="C46" s="5" t="s">
        <v>14</v>
      </c>
      <c r="D46" s="6" t="s">
        <v>332</v>
      </c>
      <c r="E46" s="5" t="s">
        <v>146</v>
      </c>
      <c r="F46" s="5" t="s">
        <v>16</v>
      </c>
      <c r="G46" s="5" t="str">
        <f t="shared" si="1"/>
        <v>ROP</v>
      </c>
      <c r="H46" s="5" t="s">
        <v>336</v>
      </c>
      <c r="I46" s="5" t="s">
        <v>151</v>
      </c>
      <c r="J46" s="5" t="s">
        <v>19</v>
      </c>
      <c r="K46" s="5" t="str">
        <f>IFERROR(__xludf.DUMMYFUNCTION("TEXT(MATCH(I46,UNIQUE(FILTER($I$2:$I1064,$I$2:$I1064&lt;&gt;"""")),0),""000"")"),"037")</f>
        <v>037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 t="s">
        <v>145</v>
      </c>
      <c r="B47" s="5" t="s">
        <v>146</v>
      </c>
      <c r="C47" s="5" t="s">
        <v>14</v>
      </c>
      <c r="D47" s="6" t="s">
        <v>332</v>
      </c>
      <c r="E47" s="5" t="s">
        <v>146</v>
      </c>
      <c r="F47" s="5" t="s">
        <v>16</v>
      </c>
      <c r="G47" s="5" t="str">
        <f t="shared" si="1"/>
        <v>ROP</v>
      </c>
      <c r="H47" s="5" t="s">
        <v>337</v>
      </c>
      <c r="I47" s="5" t="s">
        <v>151</v>
      </c>
      <c r="J47" s="5" t="s">
        <v>19</v>
      </c>
      <c r="K47" s="5" t="str">
        <f>IFERROR(__xludf.DUMMYFUNCTION("TEXT(MATCH(I47,UNIQUE(FILTER($I$2:$I1064,$I$2:$I1064&lt;&gt;"""")),0),""000"")"),"037")</f>
        <v>037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 t="s">
        <v>145</v>
      </c>
      <c r="B48" s="5" t="s">
        <v>146</v>
      </c>
      <c r="C48" s="5" t="s">
        <v>14</v>
      </c>
      <c r="D48" s="6" t="s">
        <v>332</v>
      </c>
      <c r="E48" s="5" t="s">
        <v>146</v>
      </c>
      <c r="F48" s="5" t="s">
        <v>16</v>
      </c>
      <c r="G48" s="5" t="str">
        <f t="shared" si="1"/>
        <v>ROP</v>
      </c>
      <c r="H48" s="5" t="s">
        <v>338</v>
      </c>
      <c r="I48" s="5" t="s">
        <v>151</v>
      </c>
      <c r="J48" s="5" t="s">
        <v>19</v>
      </c>
      <c r="K48" s="5" t="str">
        <f>IFERROR(__xludf.DUMMYFUNCTION("TEXT(MATCH(I48,UNIQUE(FILTER($I$2:$I1064,$I$2:$I1064&lt;&gt;"""")),0),""000"")"),"037")</f>
        <v>037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 t="s">
        <v>145</v>
      </c>
      <c r="B49" s="5" t="s">
        <v>146</v>
      </c>
      <c r="C49" s="5" t="s">
        <v>14</v>
      </c>
      <c r="D49" s="6" t="s">
        <v>332</v>
      </c>
      <c r="E49" s="5" t="s">
        <v>146</v>
      </c>
      <c r="F49" s="5" t="s">
        <v>16</v>
      </c>
      <c r="G49" s="5" t="str">
        <f t="shared" si="1"/>
        <v>ROP</v>
      </c>
      <c r="H49" s="5" t="s">
        <v>339</v>
      </c>
      <c r="I49" s="5" t="s">
        <v>151</v>
      </c>
      <c r="J49" s="5" t="s">
        <v>19</v>
      </c>
      <c r="K49" s="5" t="str">
        <f>IFERROR(__xludf.DUMMYFUNCTION("TEXT(MATCH(I49,UNIQUE(FILTER($I$2:$I1064,$I$2:$I1064&lt;&gt;"""")),0),""000"")"),"037")</f>
        <v>037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 t="s">
        <v>145</v>
      </c>
      <c r="B50" s="5" t="s">
        <v>146</v>
      </c>
      <c r="C50" s="5" t="s">
        <v>14</v>
      </c>
      <c r="D50" s="6" t="s">
        <v>332</v>
      </c>
      <c r="E50" s="5" t="s">
        <v>146</v>
      </c>
      <c r="F50" s="5" t="s">
        <v>16</v>
      </c>
      <c r="G50" s="5" t="str">
        <f t="shared" si="1"/>
        <v>ROP</v>
      </c>
      <c r="H50" s="5" t="s">
        <v>340</v>
      </c>
      <c r="I50" s="5" t="s">
        <v>151</v>
      </c>
      <c r="J50" s="5" t="s">
        <v>19</v>
      </c>
      <c r="K50" s="5" t="str">
        <f>IFERROR(__xludf.DUMMYFUNCTION("TEXT(MATCH(I50,UNIQUE(FILTER($I$2:$I1064,$I$2:$I1064&lt;&gt;"""")),0),""000"")"),"037")</f>
        <v>037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 t="s">
        <v>145</v>
      </c>
      <c r="B51" s="5" t="s">
        <v>146</v>
      </c>
      <c r="C51" s="5" t="s">
        <v>14</v>
      </c>
      <c r="D51" s="6" t="s">
        <v>332</v>
      </c>
      <c r="E51" s="5" t="s">
        <v>146</v>
      </c>
      <c r="F51" s="5" t="s">
        <v>16</v>
      </c>
      <c r="G51" s="5" t="str">
        <f t="shared" si="1"/>
        <v>ROP</v>
      </c>
      <c r="H51" s="5" t="s">
        <v>341</v>
      </c>
      <c r="I51" s="5" t="s">
        <v>151</v>
      </c>
      <c r="J51" s="5" t="s">
        <v>19</v>
      </c>
      <c r="K51" s="5" t="str">
        <f>IFERROR(__xludf.DUMMYFUNCTION("TEXT(MATCH(I51,UNIQUE(FILTER($I$2:$I1064,$I$2:$I1064&lt;&gt;"""")),0),""000"")"),"037")</f>
        <v>037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 t="s">
        <v>145</v>
      </c>
      <c r="B52" s="5" t="s">
        <v>146</v>
      </c>
      <c r="C52" s="5" t="s">
        <v>14</v>
      </c>
      <c r="D52" s="6" t="s">
        <v>332</v>
      </c>
      <c r="E52" s="5" t="s">
        <v>146</v>
      </c>
      <c r="F52" s="5" t="s">
        <v>16</v>
      </c>
      <c r="G52" s="5" t="str">
        <f t="shared" si="1"/>
        <v>ROP</v>
      </c>
      <c r="H52" s="5" t="s">
        <v>342</v>
      </c>
      <c r="I52" s="5" t="s">
        <v>154</v>
      </c>
      <c r="J52" s="5" t="s">
        <v>19</v>
      </c>
      <c r="K52" s="5" t="str">
        <f>IFERROR(__xludf.DUMMYFUNCTION("TEXT(MATCH(I52,UNIQUE(FILTER($I$2:$I1064,$I$2:$I1064&lt;&gt;"""")),0),""000"")"),"038")</f>
        <v>038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 t="s">
        <v>145</v>
      </c>
      <c r="B53" s="5" t="s">
        <v>146</v>
      </c>
      <c r="C53" s="5" t="s">
        <v>14</v>
      </c>
      <c r="D53" s="6" t="s">
        <v>332</v>
      </c>
      <c r="E53" s="5" t="s">
        <v>146</v>
      </c>
      <c r="F53" s="5" t="s">
        <v>16</v>
      </c>
      <c r="G53" s="5" t="str">
        <f t="shared" si="1"/>
        <v>ROP</v>
      </c>
      <c r="H53" s="5" t="s">
        <v>343</v>
      </c>
      <c r="I53" s="5" t="s">
        <v>156</v>
      </c>
      <c r="J53" s="5" t="s">
        <v>19</v>
      </c>
      <c r="K53" s="5" t="str">
        <f>IFERROR(__xludf.DUMMYFUNCTION("TEXT(MATCH(I53,UNIQUE(FILTER($I$2:$I1064,$I$2:$I1064&lt;&gt;"""")),0),""000"")"),"039")</f>
        <v>039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 t="s">
        <v>145</v>
      </c>
      <c r="B54" s="5" t="s">
        <v>146</v>
      </c>
      <c r="C54" s="5" t="s">
        <v>14</v>
      </c>
      <c r="D54" s="6" t="s">
        <v>332</v>
      </c>
      <c r="E54" s="5" t="s">
        <v>146</v>
      </c>
      <c r="F54" s="5" t="s">
        <v>16</v>
      </c>
      <c r="G54" s="5" t="str">
        <f t="shared" si="1"/>
        <v>ROP</v>
      </c>
      <c r="H54" s="5" t="s">
        <v>344</v>
      </c>
      <c r="I54" s="5" t="s">
        <v>156</v>
      </c>
      <c r="J54" s="5" t="s">
        <v>19</v>
      </c>
      <c r="K54" s="5" t="str">
        <f>IFERROR(__xludf.DUMMYFUNCTION("TEXT(MATCH(I54,UNIQUE(FILTER($I$2:$I1064,$I$2:$I1064&lt;&gt;"""")),0),""000"")"),"039")</f>
        <v>039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 t="s">
        <v>145</v>
      </c>
      <c r="B55" s="5" t="s">
        <v>146</v>
      </c>
      <c r="C55" s="5" t="s">
        <v>14</v>
      </c>
      <c r="D55" s="6" t="s">
        <v>332</v>
      </c>
      <c r="E55" s="5" t="s">
        <v>146</v>
      </c>
      <c r="F55" s="5" t="s">
        <v>39</v>
      </c>
      <c r="G55" s="5" t="str">
        <f t="shared" si="1"/>
        <v>LOP</v>
      </c>
      <c r="H55" s="5" t="s">
        <v>345</v>
      </c>
      <c r="I55" s="5" t="s">
        <v>158</v>
      </c>
      <c r="J55" s="5" t="s">
        <v>19</v>
      </c>
      <c r="K55" s="5" t="str">
        <f>IFERROR(__xludf.DUMMYFUNCTION("TEXT(MATCH(I55,UNIQUE(FILTER($I$2:$I1064,$I$2:$I1064&lt;&gt;"""")),0),""000"")"),"040")</f>
        <v>040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 t="s">
        <v>145</v>
      </c>
      <c r="B56" s="5" t="s">
        <v>146</v>
      </c>
      <c r="C56" s="5" t="s">
        <v>14</v>
      </c>
      <c r="D56" s="6" t="s">
        <v>332</v>
      </c>
      <c r="E56" s="5" t="s">
        <v>146</v>
      </c>
      <c r="F56" s="5" t="s">
        <v>16</v>
      </c>
      <c r="G56" s="5" t="str">
        <f t="shared" si="1"/>
        <v>ROP</v>
      </c>
      <c r="H56" s="5" t="s">
        <v>346</v>
      </c>
      <c r="I56" s="5" t="s">
        <v>160</v>
      </c>
      <c r="J56" s="5" t="s">
        <v>19</v>
      </c>
      <c r="K56" s="5" t="str">
        <f>IFERROR(__xludf.DUMMYFUNCTION("TEXT(MATCH(I56,UNIQUE(FILTER($I$2:$I1064,$I$2:$I1064&lt;&gt;"""")),0),""000"")"),"041")</f>
        <v>041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 t="s">
        <v>145</v>
      </c>
      <c r="B57" s="5" t="s">
        <v>146</v>
      </c>
      <c r="C57" s="5" t="s">
        <v>14</v>
      </c>
      <c r="D57" s="6" t="s">
        <v>332</v>
      </c>
      <c r="E57" s="5" t="s">
        <v>146</v>
      </c>
      <c r="F57" s="5" t="s">
        <v>16</v>
      </c>
      <c r="G57" s="5" t="str">
        <f t="shared" si="1"/>
        <v>ROP</v>
      </c>
      <c r="H57" s="5" t="s">
        <v>347</v>
      </c>
      <c r="I57" s="5" t="s">
        <v>162</v>
      </c>
      <c r="J57" s="5" t="s">
        <v>19</v>
      </c>
      <c r="K57" s="5" t="str">
        <f>IFERROR(__xludf.DUMMYFUNCTION("TEXT(MATCH(I57,UNIQUE(FILTER($I$2:$I1064,$I$2:$I1064&lt;&gt;"""")),0),""000"")"),"042")</f>
        <v>042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 t="s">
        <v>145</v>
      </c>
      <c r="B58" s="5" t="s">
        <v>146</v>
      </c>
      <c r="C58" s="5" t="s">
        <v>14</v>
      </c>
      <c r="D58" s="6" t="s">
        <v>332</v>
      </c>
      <c r="E58" s="5" t="s">
        <v>146</v>
      </c>
      <c r="F58" s="5" t="s">
        <v>39</v>
      </c>
      <c r="G58" s="5" t="str">
        <f t="shared" si="1"/>
        <v>LOP</v>
      </c>
      <c r="H58" s="5" t="s">
        <v>348</v>
      </c>
      <c r="I58" s="5" t="s">
        <v>163</v>
      </c>
      <c r="J58" s="5" t="s">
        <v>19</v>
      </c>
      <c r="K58" s="5" t="str">
        <f>IFERROR(__xludf.DUMMYFUNCTION("TEXT(MATCH(I58,UNIQUE(FILTER($I$2:$I1064,$I$2:$I1064&lt;&gt;"""")),0),""000"")"),"043")</f>
        <v>043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 t="s">
        <v>145</v>
      </c>
      <c r="B59" s="5" t="s">
        <v>146</v>
      </c>
      <c r="C59" s="5" t="s">
        <v>14</v>
      </c>
      <c r="D59" s="6" t="s">
        <v>332</v>
      </c>
      <c r="E59" s="5" t="s">
        <v>146</v>
      </c>
      <c r="F59" s="5" t="s">
        <v>39</v>
      </c>
      <c r="G59" s="5" t="str">
        <f t="shared" si="1"/>
        <v>LOP</v>
      </c>
      <c r="H59" s="5" t="s">
        <v>349</v>
      </c>
      <c r="I59" s="5" t="s">
        <v>163</v>
      </c>
      <c r="J59" s="5" t="s">
        <v>19</v>
      </c>
      <c r="K59" s="5" t="str">
        <f>IFERROR(__xludf.DUMMYFUNCTION("TEXT(MATCH(I59,UNIQUE(FILTER($I$2:$I1064,$I$2:$I1064&lt;&gt;"""")),0),""000"")"),"043")</f>
        <v>043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 t="s">
        <v>145</v>
      </c>
      <c r="B60" s="5" t="s">
        <v>146</v>
      </c>
      <c r="C60" s="5" t="s">
        <v>14</v>
      </c>
      <c r="D60" s="6" t="s">
        <v>332</v>
      </c>
      <c r="E60" s="5" t="s">
        <v>146</v>
      </c>
      <c r="F60" s="5" t="s">
        <v>39</v>
      </c>
      <c r="G60" s="5" t="str">
        <f t="shared" si="1"/>
        <v>LOP</v>
      </c>
      <c r="H60" s="5" t="s">
        <v>350</v>
      </c>
      <c r="I60" s="5" t="s">
        <v>165</v>
      </c>
      <c r="J60" s="5" t="s">
        <v>19</v>
      </c>
      <c r="K60" s="5" t="str">
        <f>IFERROR(__xludf.DUMMYFUNCTION("TEXT(MATCH(I60,UNIQUE(FILTER($I$2:$I1064,$I$2:$I1064&lt;&gt;"""")),0),""000"")"),"044")</f>
        <v>044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 t="s">
        <v>145</v>
      </c>
      <c r="B61" s="5" t="s">
        <v>146</v>
      </c>
      <c r="C61" s="5" t="s">
        <v>14</v>
      </c>
      <c r="D61" s="6" t="s">
        <v>332</v>
      </c>
      <c r="E61" s="5" t="s">
        <v>146</v>
      </c>
      <c r="F61" s="5" t="s">
        <v>16</v>
      </c>
      <c r="G61" s="5" t="str">
        <f t="shared" si="1"/>
        <v>ROP</v>
      </c>
      <c r="H61" s="5" t="s">
        <v>351</v>
      </c>
      <c r="I61" s="5" t="s">
        <v>167</v>
      </c>
      <c r="J61" s="5" t="s">
        <v>19</v>
      </c>
      <c r="K61" s="5" t="str">
        <f>IFERROR(__xludf.DUMMYFUNCTION("TEXT(MATCH(I61,UNIQUE(FILTER($I$2:$I1064,$I$2:$I1064&lt;&gt;"""")),0),""000"")"),"045")</f>
        <v>045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 t="s">
        <v>145</v>
      </c>
      <c r="B62" s="5" t="s">
        <v>146</v>
      </c>
      <c r="C62" s="5" t="s">
        <v>14</v>
      </c>
      <c r="D62" s="6" t="s">
        <v>332</v>
      </c>
      <c r="E62" s="5" t="s">
        <v>146</v>
      </c>
      <c r="F62" s="5" t="s">
        <v>39</v>
      </c>
      <c r="G62" s="5" t="str">
        <f t="shared" si="1"/>
        <v>LOP</v>
      </c>
      <c r="H62" s="5" t="s">
        <v>352</v>
      </c>
      <c r="I62" s="5" t="s">
        <v>170</v>
      </c>
      <c r="J62" s="5" t="s">
        <v>19</v>
      </c>
      <c r="K62" s="5" t="str">
        <f>IFERROR(__xludf.DUMMYFUNCTION("TEXT(MATCH(I62,UNIQUE(FILTER($I$2:$I1064,$I$2:$I1064&lt;&gt;"""")),0),""000"")"),"046")</f>
        <v>046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 t="s">
        <v>145</v>
      </c>
      <c r="B63" s="5" t="s">
        <v>146</v>
      </c>
      <c r="C63" s="5" t="s">
        <v>14</v>
      </c>
      <c r="D63" s="6" t="s">
        <v>332</v>
      </c>
      <c r="E63" s="5" t="s">
        <v>146</v>
      </c>
      <c r="F63" s="5" t="s">
        <v>39</v>
      </c>
      <c r="G63" s="5" t="str">
        <f t="shared" si="1"/>
        <v>LOP</v>
      </c>
      <c r="H63" s="5" t="s">
        <v>353</v>
      </c>
      <c r="I63" s="5" t="s">
        <v>172</v>
      </c>
      <c r="J63" s="5" t="s">
        <v>19</v>
      </c>
      <c r="K63" s="5" t="str">
        <f>IFERROR(__xludf.DUMMYFUNCTION("TEXT(MATCH(I63,UNIQUE(FILTER($I$2:$I1064,$I$2:$I1064&lt;&gt;"""")),0),""000"")"),"047")</f>
        <v>047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 t="s">
        <v>145</v>
      </c>
      <c r="B64" s="5" t="s">
        <v>146</v>
      </c>
      <c r="C64" s="5" t="s">
        <v>14</v>
      </c>
      <c r="D64" s="6" t="s">
        <v>332</v>
      </c>
      <c r="E64" s="5" t="s">
        <v>146</v>
      </c>
      <c r="F64" s="5" t="s">
        <v>16</v>
      </c>
      <c r="G64" s="5" t="str">
        <f t="shared" si="1"/>
        <v>ROP</v>
      </c>
      <c r="H64" s="5" t="s">
        <v>354</v>
      </c>
      <c r="I64" s="5" t="s">
        <v>174</v>
      </c>
      <c r="J64" s="5" t="s">
        <v>19</v>
      </c>
      <c r="K64" s="5" t="str">
        <f>IFERROR(__xludf.DUMMYFUNCTION("TEXT(MATCH(I64,UNIQUE(FILTER($I$2:$I1064,$I$2:$I1064&lt;&gt;"""")),0),""000"")"),"048")</f>
        <v>048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 t="s">
        <v>175</v>
      </c>
      <c r="B65" s="5" t="s">
        <v>176</v>
      </c>
      <c r="C65" s="5" t="s">
        <v>14</v>
      </c>
      <c r="D65" s="6" t="s">
        <v>355</v>
      </c>
      <c r="E65" s="5" t="s">
        <v>176</v>
      </c>
      <c r="F65" s="5" t="s">
        <v>39</v>
      </c>
      <c r="G65" s="5" t="str">
        <f t="shared" si="1"/>
        <v>LOP</v>
      </c>
      <c r="H65" s="5" t="s">
        <v>356</v>
      </c>
      <c r="I65" s="5" t="s">
        <v>179</v>
      </c>
      <c r="J65" s="5" t="s">
        <v>19</v>
      </c>
      <c r="K65" s="5" t="str">
        <f>IFERROR(__xludf.DUMMYFUNCTION("TEXT(MATCH(I65,UNIQUE(FILTER($I$2:$I1064,$I$2:$I1064&lt;&gt;"""")),0),""000"")"),"049")</f>
        <v>049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 t="s">
        <v>175</v>
      </c>
      <c r="B66" s="5" t="s">
        <v>176</v>
      </c>
      <c r="C66" s="5" t="s">
        <v>14</v>
      </c>
      <c r="D66" s="6" t="s">
        <v>355</v>
      </c>
      <c r="E66" s="5" t="s">
        <v>176</v>
      </c>
      <c r="F66" s="5" t="s">
        <v>39</v>
      </c>
      <c r="G66" s="5" t="str">
        <f t="shared" si="1"/>
        <v>LOP</v>
      </c>
      <c r="H66" s="5" t="s">
        <v>357</v>
      </c>
      <c r="I66" s="5" t="s">
        <v>182</v>
      </c>
      <c r="J66" s="5" t="s">
        <v>19</v>
      </c>
      <c r="K66" s="5" t="str">
        <f>IFERROR(__xludf.DUMMYFUNCTION("TEXT(MATCH(I66,UNIQUE(FILTER($I$2:$I1064,$I$2:$I1064&lt;&gt;"""")),0),""000"")"),"050")</f>
        <v>050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 t="s">
        <v>175</v>
      </c>
      <c r="B67" s="5" t="s">
        <v>176</v>
      </c>
      <c r="C67" s="5" t="s">
        <v>14</v>
      </c>
      <c r="D67" s="6" t="s">
        <v>355</v>
      </c>
      <c r="E67" s="5" t="s">
        <v>176</v>
      </c>
      <c r="F67" s="5" t="s">
        <v>39</v>
      </c>
      <c r="G67" s="5" t="str">
        <f t="shared" si="1"/>
        <v>LOP</v>
      </c>
      <c r="H67" s="5" t="s">
        <v>358</v>
      </c>
      <c r="I67" s="5" t="s">
        <v>184</v>
      </c>
      <c r="J67" s="5" t="s">
        <v>19</v>
      </c>
      <c r="K67" s="5" t="str">
        <f>IFERROR(__xludf.DUMMYFUNCTION("TEXT(MATCH(I67,UNIQUE(FILTER($I$2:$I1064,$I$2:$I1064&lt;&gt;"""")),0),""000"")"),"051")</f>
        <v>051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5" t="s">
        <v>175</v>
      </c>
      <c r="B68" s="5" t="s">
        <v>176</v>
      </c>
      <c r="C68" s="5" t="s">
        <v>14</v>
      </c>
      <c r="D68" s="6" t="s">
        <v>355</v>
      </c>
      <c r="E68" s="5" t="s">
        <v>176</v>
      </c>
      <c r="F68" s="5" t="s">
        <v>39</v>
      </c>
      <c r="G68" s="5" t="str">
        <f t="shared" si="1"/>
        <v>LOP</v>
      </c>
      <c r="H68" s="5" t="s">
        <v>359</v>
      </c>
      <c r="I68" s="5" t="s">
        <v>186</v>
      </c>
      <c r="J68" s="5" t="s">
        <v>19</v>
      </c>
      <c r="K68" s="5" t="str">
        <f>IFERROR(__xludf.DUMMYFUNCTION("TEXT(MATCH(I68,UNIQUE(FILTER($I$2:$I1064,$I$2:$I1064&lt;&gt;"""")),0),""000"")"),"052")</f>
        <v>052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 t="s">
        <v>175</v>
      </c>
      <c r="B69" s="5" t="s">
        <v>176</v>
      </c>
      <c r="C69" s="5" t="s">
        <v>187</v>
      </c>
      <c r="D69" s="6" t="s">
        <v>360</v>
      </c>
      <c r="E69" s="5" t="s">
        <v>189</v>
      </c>
      <c r="F69" s="5" t="s">
        <v>16</v>
      </c>
      <c r="G69" s="5" t="str">
        <f t="shared" si="1"/>
        <v>ROP</v>
      </c>
      <c r="H69" s="5" t="s">
        <v>361</v>
      </c>
      <c r="I69" s="5" t="s">
        <v>191</v>
      </c>
      <c r="J69" s="5" t="s">
        <v>19</v>
      </c>
      <c r="K69" s="5" t="str">
        <f>IFERROR(__xludf.DUMMYFUNCTION("TEXT(MATCH(I69,UNIQUE(FILTER($I$2:$I1064,$I$2:$I1064&lt;&gt;"""")),0),""000"")"),"053")</f>
        <v>053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 t="s">
        <v>175</v>
      </c>
      <c r="B70" s="5" t="s">
        <v>176</v>
      </c>
      <c r="C70" s="5" t="s">
        <v>187</v>
      </c>
      <c r="D70" s="6" t="s">
        <v>360</v>
      </c>
      <c r="E70" s="5" t="s">
        <v>189</v>
      </c>
      <c r="F70" s="5" t="s">
        <v>16</v>
      </c>
      <c r="G70" s="5" t="str">
        <f t="shared" si="1"/>
        <v>ROP</v>
      </c>
      <c r="H70" s="5" t="s">
        <v>362</v>
      </c>
      <c r="I70" s="5" t="s">
        <v>191</v>
      </c>
      <c r="J70" s="5" t="s">
        <v>19</v>
      </c>
      <c r="K70" s="5" t="str">
        <f>IFERROR(__xludf.DUMMYFUNCTION("TEXT(MATCH(I70,UNIQUE(FILTER($I$2:$I1064,$I$2:$I1064&lt;&gt;"""")),0),""000"")"),"053")</f>
        <v>053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 t="s">
        <v>175</v>
      </c>
      <c r="B71" s="5" t="s">
        <v>176</v>
      </c>
      <c r="C71" s="5" t="s">
        <v>187</v>
      </c>
      <c r="D71" s="6" t="s">
        <v>360</v>
      </c>
      <c r="E71" s="5" t="s">
        <v>189</v>
      </c>
      <c r="F71" s="5" t="s">
        <v>16</v>
      </c>
      <c r="G71" s="5" t="str">
        <f t="shared" si="1"/>
        <v>ROP</v>
      </c>
      <c r="H71" s="5" t="s">
        <v>363</v>
      </c>
      <c r="I71" s="5" t="s">
        <v>191</v>
      </c>
      <c r="J71" s="5" t="s">
        <v>19</v>
      </c>
      <c r="K71" s="5" t="str">
        <f>IFERROR(__xludf.DUMMYFUNCTION("TEXT(MATCH(I71,UNIQUE(FILTER($I$2:$I1064,$I$2:$I1064&lt;&gt;"""")),0),""000"")"),"053")</f>
        <v>053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 t="s">
        <v>175</v>
      </c>
      <c r="B72" s="5" t="s">
        <v>176</v>
      </c>
      <c r="C72" s="5" t="s">
        <v>187</v>
      </c>
      <c r="D72" s="6" t="s">
        <v>360</v>
      </c>
      <c r="E72" s="5" t="s">
        <v>189</v>
      </c>
      <c r="F72" s="5" t="s">
        <v>16</v>
      </c>
      <c r="G72" s="5" t="str">
        <f t="shared" si="1"/>
        <v>ROP</v>
      </c>
      <c r="H72" s="5" t="s">
        <v>364</v>
      </c>
      <c r="I72" s="5" t="s">
        <v>191</v>
      </c>
      <c r="J72" s="5" t="s">
        <v>19</v>
      </c>
      <c r="K72" s="5" t="str">
        <f>IFERROR(__xludf.DUMMYFUNCTION("TEXT(MATCH(I72,UNIQUE(FILTER($I$2:$I1064,$I$2:$I1064&lt;&gt;"""")),0),""000"")"),"053")</f>
        <v>053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 t="s">
        <v>175</v>
      </c>
      <c r="B73" s="5" t="s">
        <v>176</v>
      </c>
      <c r="C73" s="5" t="s">
        <v>187</v>
      </c>
      <c r="D73" s="6" t="s">
        <v>360</v>
      </c>
      <c r="E73" s="5" t="s">
        <v>189</v>
      </c>
      <c r="F73" s="5" t="s">
        <v>16</v>
      </c>
      <c r="G73" s="5" t="str">
        <f t="shared" si="1"/>
        <v>ROP</v>
      </c>
      <c r="H73" s="5" t="s">
        <v>365</v>
      </c>
      <c r="I73" s="5" t="s">
        <v>191</v>
      </c>
      <c r="J73" s="5" t="s">
        <v>19</v>
      </c>
      <c r="K73" s="5" t="str">
        <f>IFERROR(__xludf.DUMMYFUNCTION("TEXT(MATCH(I73,UNIQUE(FILTER($I$2:$I1064,$I$2:$I1064&lt;&gt;"""")),0),""000"")"),"053")</f>
        <v>053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 t="s">
        <v>175</v>
      </c>
      <c r="B74" s="5" t="s">
        <v>176</v>
      </c>
      <c r="C74" s="5" t="s">
        <v>192</v>
      </c>
      <c r="D74" s="6" t="s">
        <v>366</v>
      </c>
      <c r="E74" s="5" t="s">
        <v>193</v>
      </c>
      <c r="F74" s="5" t="s">
        <v>16</v>
      </c>
      <c r="G74" s="5" t="str">
        <f t="shared" si="1"/>
        <v>ROP</v>
      </c>
      <c r="H74" s="5" t="s">
        <v>367</v>
      </c>
      <c r="I74" s="5" t="s">
        <v>195</v>
      </c>
      <c r="J74" s="5" t="s">
        <v>19</v>
      </c>
      <c r="K74" s="5" t="str">
        <f>IFERROR(__xludf.DUMMYFUNCTION("TEXT(MATCH(I74,UNIQUE(FILTER($I$2:$I1064,$I$2:$I1064&lt;&gt;"""")),0),""000"")"),"054")</f>
        <v>054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 t="s">
        <v>175</v>
      </c>
      <c r="B75" s="5" t="s">
        <v>176</v>
      </c>
      <c r="C75" s="5" t="s">
        <v>192</v>
      </c>
      <c r="D75" s="6" t="s">
        <v>366</v>
      </c>
      <c r="E75" s="5" t="s">
        <v>193</v>
      </c>
      <c r="F75" s="5" t="s">
        <v>39</v>
      </c>
      <c r="G75" s="5" t="str">
        <f t="shared" si="1"/>
        <v>LOP</v>
      </c>
      <c r="H75" s="5" t="s">
        <v>368</v>
      </c>
      <c r="I75" s="5" t="s">
        <v>197</v>
      </c>
      <c r="J75" s="5" t="s">
        <v>19</v>
      </c>
      <c r="K75" s="5" t="str">
        <f>IFERROR(__xludf.DUMMYFUNCTION("TEXT(MATCH(I75,UNIQUE(FILTER($I$2:$I1064,$I$2:$I1064&lt;&gt;"""")),0),""000"")"),"055")</f>
        <v>055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5" t="s">
        <v>198</v>
      </c>
      <c r="B76" s="5" t="s">
        <v>199</v>
      </c>
      <c r="C76" s="5" t="s">
        <v>14</v>
      </c>
      <c r="D76" s="6" t="s">
        <v>369</v>
      </c>
      <c r="E76" s="5" t="s">
        <v>201</v>
      </c>
      <c r="F76" s="5" t="s">
        <v>39</v>
      </c>
      <c r="G76" s="5" t="str">
        <f t="shared" si="1"/>
        <v>LOP</v>
      </c>
      <c r="H76" s="5" t="s">
        <v>370</v>
      </c>
      <c r="I76" s="5" t="s">
        <v>203</v>
      </c>
      <c r="J76" s="5" t="s">
        <v>19</v>
      </c>
      <c r="K76" s="5" t="str">
        <f>IFERROR(__xludf.DUMMYFUNCTION("TEXT(MATCH(I76,UNIQUE(FILTER($I$2:$I1064,$I$2:$I1064&lt;&gt;"""")),0),""000"")"),"056")</f>
        <v>056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5" t="s">
        <v>198</v>
      </c>
      <c r="B77" s="5" t="s">
        <v>199</v>
      </c>
      <c r="C77" s="5" t="s">
        <v>14</v>
      </c>
      <c r="D77" s="6" t="s">
        <v>369</v>
      </c>
      <c r="E77" s="5" t="s">
        <v>201</v>
      </c>
      <c r="F77" s="5" t="s">
        <v>39</v>
      </c>
      <c r="G77" s="5" t="str">
        <f t="shared" si="1"/>
        <v>LOP</v>
      </c>
      <c r="H77" s="5" t="s">
        <v>371</v>
      </c>
      <c r="I77" s="5" t="s">
        <v>206</v>
      </c>
      <c r="J77" s="5" t="s">
        <v>19</v>
      </c>
      <c r="K77" s="5" t="str">
        <f>IFERROR(__xludf.DUMMYFUNCTION("TEXT(MATCH(I77,UNIQUE(FILTER($I$2:$I1064,$I$2:$I1064&lt;&gt;"""")),0),""000"")"),"057")</f>
        <v>057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5" t="s">
        <v>198</v>
      </c>
      <c r="B78" s="5" t="s">
        <v>199</v>
      </c>
      <c r="C78" s="5" t="s">
        <v>14</v>
      </c>
      <c r="D78" s="6" t="s">
        <v>369</v>
      </c>
      <c r="E78" s="5" t="s">
        <v>201</v>
      </c>
      <c r="F78" s="5" t="s">
        <v>16</v>
      </c>
      <c r="G78" s="5" t="str">
        <f t="shared" si="1"/>
        <v>ROP</v>
      </c>
      <c r="H78" s="5" t="s">
        <v>372</v>
      </c>
      <c r="I78" s="5" t="s">
        <v>208</v>
      </c>
      <c r="J78" s="5" t="s">
        <v>373</v>
      </c>
      <c r="K78" s="5" t="str">
        <f>IFERROR(__xludf.DUMMYFUNCTION("TEXT(MATCH(I78,UNIQUE(FILTER($I$2:$I1064,$I$2:$I1064&lt;&gt;"""")),0),""000"")"),"058")</f>
        <v>058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5" t="s">
        <v>198</v>
      </c>
      <c r="B79" s="5" t="s">
        <v>199</v>
      </c>
      <c r="C79" s="5" t="s">
        <v>14</v>
      </c>
      <c r="D79" s="6" t="s">
        <v>369</v>
      </c>
      <c r="E79" s="5" t="s">
        <v>201</v>
      </c>
      <c r="F79" s="5" t="s">
        <v>16</v>
      </c>
      <c r="G79" s="5" t="str">
        <f t="shared" si="1"/>
        <v>ROP</v>
      </c>
      <c r="H79" s="5" t="s">
        <v>374</v>
      </c>
      <c r="I79" s="5" t="s">
        <v>210</v>
      </c>
      <c r="J79" s="5" t="s">
        <v>373</v>
      </c>
      <c r="K79" s="5" t="str">
        <f>IFERROR(__xludf.DUMMYFUNCTION("TEXT(MATCH(I79,UNIQUE(FILTER($I$2:$I1064,$I$2:$I1064&lt;&gt;"""")),0),""000"")"),"059")</f>
        <v>059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5" t="s">
        <v>198</v>
      </c>
      <c r="B80" s="5" t="s">
        <v>199</v>
      </c>
      <c r="C80" s="5" t="s">
        <v>14</v>
      </c>
      <c r="D80" s="6" t="s">
        <v>369</v>
      </c>
      <c r="E80" s="5" t="s">
        <v>201</v>
      </c>
      <c r="F80" s="5" t="s">
        <v>16</v>
      </c>
      <c r="G80" s="5" t="str">
        <f t="shared" si="1"/>
        <v>ROP</v>
      </c>
      <c r="H80" s="5" t="s">
        <v>375</v>
      </c>
      <c r="I80" s="5" t="s">
        <v>213</v>
      </c>
      <c r="J80" s="5" t="s">
        <v>19</v>
      </c>
      <c r="K80" s="5" t="str">
        <f>IFERROR(__xludf.DUMMYFUNCTION("TEXT(MATCH(I80,UNIQUE(FILTER($I$2:$I1064,$I$2:$I1064&lt;&gt;"""")),0),""000"")"),"060")</f>
        <v>060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5" t="s">
        <v>198</v>
      </c>
      <c r="B81" s="5" t="s">
        <v>199</v>
      </c>
      <c r="C81" s="5" t="s">
        <v>14</v>
      </c>
      <c r="D81" s="6" t="s">
        <v>369</v>
      </c>
      <c r="E81" s="5" t="s">
        <v>201</v>
      </c>
      <c r="F81" s="5" t="s">
        <v>16</v>
      </c>
      <c r="G81" s="5" t="str">
        <f t="shared" si="1"/>
        <v>ROP</v>
      </c>
      <c r="H81" s="5" t="s">
        <v>376</v>
      </c>
      <c r="I81" s="5" t="s">
        <v>215</v>
      </c>
      <c r="J81" s="5" t="s">
        <v>19</v>
      </c>
      <c r="K81" s="5" t="str">
        <f>IFERROR(__xludf.DUMMYFUNCTION("TEXT(MATCH(I81,UNIQUE(FILTER($I$2:$I1064,$I$2:$I1064&lt;&gt;"""")),0),""000"")"),"061")</f>
        <v>061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5" t="s">
        <v>198</v>
      </c>
      <c r="B82" s="5" t="s">
        <v>199</v>
      </c>
      <c r="C82" s="5" t="s">
        <v>14</v>
      </c>
      <c r="D82" s="6" t="s">
        <v>369</v>
      </c>
      <c r="E82" s="5" t="s">
        <v>201</v>
      </c>
      <c r="F82" s="5" t="s">
        <v>16</v>
      </c>
      <c r="G82" s="5" t="str">
        <f t="shared" si="1"/>
        <v>ROP</v>
      </c>
      <c r="H82" s="5" t="s">
        <v>377</v>
      </c>
      <c r="I82" s="5" t="s">
        <v>217</v>
      </c>
      <c r="J82" s="5" t="s">
        <v>19</v>
      </c>
      <c r="K82" s="5" t="str">
        <f>IFERROR(__xludf.DUMMYFUNCTION("TEXT(MATCH(I82,UNIQUE(FILTER($I$2:$I1064,$I$2:$I1064&lt;&gt;"""")),0),""000"")"),"062")</f>
        <v>062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5" t="s">
        <v>198</v>
      </c>
      <c r="B83" s="5" t="s">
        <v>199</v>
      </c>
      <c r="C83" s="5" t="s">
        <v>14</v>
      </c>
      <c r="D83" s="6" t="s">
        <v>369</v>
      </c>
      <c r="E83" s="5" t="s">
        <v>201</v>
      </c>
      <c r="F83" s="5" t="s">
        <v>16</v>
      </c>
      <c r="G83" s="5" t="str">
        <f t="shared" si="1"/>
        <v>ROP</v>
      </c>
      <c r="H83" s="5" t="s">
        <v>378</v>
      </c>
      <c r="I83" s="5" t="s">
        <v>220</v>
      </c>
      <c r="J83" s="5" t="s">
        <v>19</v>
      </c>
      <c r="K83" s="5" t="str">
        <f>IFERROR(__xludf.DUMMYFUNCTION("TEXT(MATCH(I83,UNIQUE(FILTER($I$2:$I1064,$I$2:$I1064&lt;&gt;"""")),0),""000"")"),"063")</f>
        <v>063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5" t="s">
        <v>198</v>
      </c>
      <c r="B84" s="5" t="s">
        <v>199</v>
      </c>
      <c r="C84" s="5" t="s">
        <v>221</v>
      </c>
      <c r="D84" s="6" t="s">
        <v>379</v>
      </c>
      <c r="E84" s="5" t="s">
        <v>223</v>
      </c>
      <c r="F84" s="5" t="s">
        <v>39</v>
      </c>
      <c r="G84" s="5" t="str">
        <f t="shared" si="1"/>
        <v>LOP</v>
      </c>
      <c r="H84" s="5" t="s">
        <v>380</v>
      </c>
      <c r="I84" s="5" t="s">
        <v>225</v>
      </c>
      <c r="J84" s="5" t="s">
        <v>19</v>
      </c>
      <c r="K84" s="5" t="str">
        <f>IFERROR(__xludf.DUMMYFUNCTION("TEXT(MATCH(I84,UNIQUE(FILTER($I$2:$I1064,$I$2:$I1064&lt;&gt;"""")),0),""000"")"),"064")</f>
        <v>064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5" t="s">
        <v>198</v>
      </c>
      <c r="B85" s="5" t="s">
        <v>199</v>
      </c>
      <c r="C85" s="5" t="s">
        <v>221</v>
      </c>
      <c r="D85" s="6" t="s">
        <v>379</v>
      </c>
      <c r="E85" s="5" t="s">
        <v>223</v>
      </c>
      <c r="F85" s="5" t="s">
        <v>39</v>
      </c>
      <c r="G85" s="5" t="str">
        <f t="shared" si="1"/>
        <v>LOP</v>
      </c>
      <c r="H85" s="5" t="s">
        <v>381</v>
      </c>
      <c r="I85" s="5" t="s">
        <v>225</v>
      </c>
      <c r="J85" s="5" t="s">
        <v>19</v>
      </c>
      <c r="K85" s="5" t="str">
        <f>IFERROR(__xludf.DUMMYFUNCTION("TEXT(MATCH(I85,UNIQUE(FILTER($I$2:$I1064,$I$2:$I1064&lt;&gt;"""")),0),""000"")"),"064")</f>
        <v>064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5" t="s">
        <v>235</v>
      </c>
      <c r="B86" s="5" t="s">
        <v>237</v>
      </c>
      <c r="C86" s="9" t="s">
        <v>14</v>
      </c>
      <c r="D86" s="6" t="s">
        <v>382</v>
      </c>
      <c r="E86" s="5" t="s">
        <v>237</v>
      </c>
      <c r="F86" s="5" t="s">
        <v>39</v>
      </c>
      <c r="G86" s="5" t="str">
        <f t="shared" si="1"/>
        <v>LOP</v>
      </c>
      <c r="H86" s="5" t="s">
        <v>383</v>
      </c>
      <c r="I86" s="5" t="s">
        <v>239</v>
      </c>
      <c r="J86" s="5" t="s">
        <v>19</v>
      </c>
      <c r="K86" s="5" t="str">
        <f>IFERROR(__xludf.DUMMYFUNCTION("TEXT(MATCH(I86,UNIQUE(FILTER($I$2:$I1064,$I$2:$I1064&lt;&gt;"""")),0),""000"")"),"065")</f>
        <v>065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5" t="s">
        <v>235</v>
      </c>
      <c r="B87" s="5" t="s">
        <v>237</v>
      </c>
      <c r="C87" s="9" t="s">
        <v>14</v>
      </c>
      <c r="D87" s="6" t="s">
        <v>382</v>
      </c>
      <c r="E87" s="5" t="s">
        <v>237</v>
      </c>
      <c r="F87" s="5" t="s">
        <v>16</v>
      </c>
      <c r="G87" s="5" t="str">
        <f t="shared" si="1"/>
        <v>ROP</v>
      </c>
      <c r="H87" s="5" t="s">
        <v>384</v>
      </c>
      <c r="I87" s="5" t="s">
        <v>241</v>
      </c>
      <c r="J87" s="5" t="s">
        <v>19</v>
      </c>
      <c r="K87" s="5" t="str">
        <f>IFERROR(__xludf.DUMMYFUNCTION("TEXT(MATCH(I87,UNIQUE(FILTER($I$2:$I1064,$I$2:$I1064&lt;&gt;"""")),0),""000"")"),"066")</f>
        <v>066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5" t="s">
        <v>242</v>
      </c>
      <c r="B88" s="5" t="s">
        <v>243</v>
      </c>
      <c r="C88" s="9" t="s">
        <v>104</v>
      </c>
      <c r="D88" s="6" t="s">
        <v>385</v>
      </c>
      <c r="E88" s="5" t="s">
        <v>244</v>
      </c>
      <c r="F88" s="5" t="s">
        <v>16</v>
      </c>
      <c r="G88" s="5" t="str">
        <f t="shared" si="1"/>
        <v>ROP</v>
      </c>
      <c r="H88" s="5" t="s">
        <v>386</v>
      </c>
      <c r="I88" s="5" t="s">
        <v>245</v>
      </c>
      <c r="J88" s="5" t="s">
        <v>19</v>
      </c>
      <c r="K88" s="5" t="str">
        <f>IFERROR(__xludf.DUMMYFUNCTION("TEXT(MATCH(I88,UNIQUE(FILTER($I$2:$I1064,$I$2:$I1064&lt;&gt;"""")),0),""000"")"),"067")</f>
        <v>067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5" t="s">
        <v>242</v>
      </c>
      <c r="B89" s="5" t="s">
        <v>243</v>
      </c>
      <c r="C89" s="9" t="s">
        <v>104</v>
      </c>
      <c r="D89" s="6" t="s">
        <v>385</v>
      </c>
      <c r="E89" s="5" t="s">
        <v>244</v>
      </c>
      <c r="F89" s="5" t="s">
        <v>16</v>
      </c>
      <c r="G89" s="5" t="str">
        <f t="shared" si="1"/>
        <v>ROP</v>
      </c>
      <c r="H89" s="5" t="s">
        <v>387</v>
      </c>
      <c r="I89" s="5" t="s">
        <v>245</v>
      </c>
      <c r="J89" s="5" t="s">
        <v>19</v>
      </c>
      <c r="K89" s="5" t="str">
        <f>IFERROR(__xludf.DUMMYFUNCTION("TEXT(MATCH(I89,UNIQUE(FILTER($I$2:$I1064,$I$2:$I1064&lt;&gt;"""")),0),""000"")"),"067")</f>
        <v>067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5" t="s">
        <v>246</v>
      </c>
      <c r="B90" s="5" t="s">
        <v>247</v>
      </c>
      <c r="C90" s="9" t="s">
        <v>14</v>
      </c>
      <c r="D90" s="6" t="s">
        <v>388</v>
      </c>
      <c r="E90" s="5" t="s">
        <v>247</v>
      </c>
      <c r="F90" s="5" t="s">
        <v>16</v>
      </c>
      <c r="G90" s="5" t="str">
        <f t="shared" si="1"/>
        <v>ROP</v>
      </c>
      <c r="H90" s="12" t="s">
        <v>389</v>
      </c>
      <c r="I90" s="5" t="s">
        <v>250</v>
      </c>
      <c r="J90" s="5" t="s">
        <v>19</v>
      </c>
      <c r="K90" s="5" t="str">
        <f>IFERROR(__xludf.DUMMYFUNCTION("TEXT(MATCH(I90,UNIQUE(FILTER($I$2:$I1064,$I$2:$I1064&lt;&gt;"""")),0),""000"")"),"068")</f>
        <v>068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5" t="s">
        <v>246</v>
      </c>
      <c r="B91" s="5" t="s">
        <v>247</v>
      </c>
      <c r="C91" s="9" t="s">
        <v>14</v>
      </c>
      <c r="D91" s="6" t="s">
        <v>388</v>
      </c>
      <c r="E91" s="5" t="s">
        <v>247</v>
      </c>
      <c r="F91" s="5" t="s">
        <v>16</v>
      </c>
      <c r="G91" s="5" t="str">
        <f t="shared" si="1"/>
        <v>ROP</v>
      </c>
      <c r="H91" s="12" t="s">
        <v>390</v>
      </c>
      <c r="I91" s="5" t="s">
        <v>252</v>
      </c>
      <c r="J91" s="5" t="s">
        <v>19</v>
      </c>
      <c r="K91" s="5" t="str">
        <f>IFERROR(__xludf.DUMMYFUNCTION("TEXT(MATCH(I91,UNIQUE(FILTER($I$2:$I1064,$I$2:$I1064&lt;&gt;"""")),0),""000"")"),"069")</f>
        <v>069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5" t="s">
        <v>246</v>
      </c>
      <c r="B92" s="5" t="s">
        <v>247</v>
      </c>
      <c r="C92" s="9" t="s">
        <v>14</v>
      </c>
      <c r="D92" s="6" t="s">
        <v>388</v>
      </c>
      <c r="E92" s="5" t="s">
        <v>247</v>
      </c>
      <c r="F92" s="5" t="s">
        <v>16</v>
      </c>
      <c r="G92" s="5" t="str">
        <f t="shared" si="1"/>
        <v>ROP</v>
      </c>
      <c r="H92" s="5" t="s">
        <v>391</v>
      </c>
      <c r="I92" s="5" t="s">
        <v>254</v>
      </c>
      <c r="J92" s="5" t="s">
        <v>19</v>
      </c>
      <c r="K92" s="5" t="str">
        <f>IFERROR(__xludf.DUMMYFUNCTION("TEXT(MATCH(I92,UNIQUE(FILTER($I$2:$I1064,$I$2:$I1064&lt;&gt;"""")),0),""000"")"),"070")</f>
        <v>070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5" t="s">
        <v>246</v>
      </c>
      <c r="B93" s="5" t="s">
        <v>247</v>
      </c>
      <c r="C93" s="9" t="s">
        <v>14</v>
      </c>
      <c r="D93" s="6" t="s">
        <v>388</v>
      </c>
      <c r="E93" s="5" t="s">
        <v>247</v>
      </c>
      <c r="F93" s="5" t="s">
        <v>39</v>
      </c>
      <c r="G93" s="5" t="str">
        <f t="shared" si="1"/>
        <v>LOP</v>
      </c>
      <c r="H93" s="5" t="s">
        <v>392</v>
      </c>
      <c r="I93" s="5" t="s">
        <v>256</v>
      </c>
      <c r="J93" s="5" t="s">
        <v>19</v>
      </c>
      <c r="K93" s="5" t="str">
        <f>IFERROR(__xludf.DUMMYFUNCTION("TEXT(MATCH(I93,UNIQUE(FILTER($I$2:$I1064,$I$2:$I1064&lt;&gt;"""")),0),""000"")"),"071")</f>
        <v>071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5" t="s">
        <v>246</v>
      </c>
      <c r="B94" s="5" t="s">
        <v>247</v>
      </c>
      <c r="C94" s="9" t="s">
        <v>14</v>
      </c>
      <c r="D94" s="6" t="s">
        <v>388</v>
      </c>
      <c r="E94" s="5" t="s">
        <v>247</v>
      </c>
      <c r="F94" s="5" t="s">
        <v>39</v>
      </c>
      <c r="G94" s="5" t="str">
        <f t="shared" si="1"/>
        <v>LOP</v>
      </c>
      <c r="H94" s="5" t="s">
        <v>393</v>
      </c>
      <c r="I94" s="5" t="s">
        <v>259</v>
      </c>
      <c r="J94" s="5" t="s">
        <v>19</v>
      </c>
      <c r="K94" s="5" t="str">
        <f>IFERROR(__xludf.DUMMYFUNCTION("TEXT(MATCH(I94,UNIQUE(FILTER($I$2:$I1064,$I$2:$I1064&lt;&gt;"""")),0),""000"")"),"072")</f>
        <v>072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5" t="s">
        <v>246</v>
      </c>
      <c r="B95" s="5" t="s">
        <v>247</v>
      </c>
      <c r="C95" s="9" t="s">
        <v>14</v>
      </c>
      <c r="D95" s="6" t="s">
        <v>388</v>
      </c>
      <c r="E95" s="5" t="s">
        <v>247</v>
      </c>
      <c r="F95" s="5" t="s">
        <v>39</v>
      </c>
      <c r="G95" s="5" t="str">
        <f t="shared" si="1"/>
        <v>LOP</v>
      </c>
      <c r="H95" s="5" t="s">
        <v>394</v>
      </c>
      <c r="I95" s="5" t="s">
        <v>261</v>
      </c>
      <c r="J95" s="5" t="s">
        <v>19</v>
      </c>
      <c r="K95" s="5" t="str">
        <f>IFERROR(__xludf.DUMMYFUNCTION("TEXT(MATCH(I95,UNIQUE(FILTER($I$2:$I1064,$I$2:$I1064&lt;&gt;"""")),0),""000"")"),"073")</f>
        <v>073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5" t="s">
        <v>246</v>
      </c>
      <c r="B96" s="5" t="s">
        <v>247</v>
      </c>
      <c r="C96" s="9" t="s">
        <v>262</v>
      </c>
      <c r="D96" s="6" t="s">
        <v>395</v>
      </c>
      <c r="E96" s="5" t="s">
        <v>263</v>
      </c>
      <c r="F96" s="5" t="s">
        <v>16</v>
      </c>
      <c r="G96" s="5" t="str">
        <f t="shared" si="1"/>
        <v>ROP</v>
      </c>
      <c r="H96" s="5" t="s">
        <v>396</v>
      </c>
      <c r="I96" s="5" t="s">
        <v>265</v>
      </c>
      <c r="J96" s="5" t="s">
        <v>397</v>
      </c>
      <c r="K96" s="5" t="str">
        <f>IFERROR(__xludf.DUMMYFUNCTION("TEXT(MATCH(I96,UNIQUE(FILTER($I$2:$I1064,$I$2:$I1064&lt;&gt;"""")),0),""000"")"),"074")</f>
        <v>074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5" t="s">
        <v>266</v>
      </c>
      <c r="B97" s="5" t="s">
        <v>267</v>
      </c>
      <c r="C97" s="5" t="s">
        <v>166</v>
      </c>
      <c r="D97" s="6" t="s">
        <v>398</v>
      </c>
      <c r="E97" s="5" t="s">
        <v>268</v>
      </c>
      <c r="F97" s="5" t="s">
        <v>16</v>
      </c>
      <c r="G97" s="5" t="str">
        <f t="shared" si="1"/>
        <v>ROP</v>
      </c>
      <c r="H97" s="5" t="s">
        <v>399</v>
      </c>
      <c r="I97" s="5" t="s">
        <v>270</v>
      </c>
      <c r="J97" s="5" t="s">
        <v>373</v>
      </c>
      <c r="K97" s="5" t="str">
        <f>IFERROR(__xludf.DUMMYFUNCTION("TEXT(MATCH(I97,UNIQUE(FILTER($I$2:$I1064,$I$2:$I1064&lt;&gt;"""")),0),""000"")"),"075")</f>
        <v>075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5" t="s">
        <v>266</v>
      </c>
      <c r="B98" s="5" t="s">
        <v>267</v>
      </c>
      <c r="C98" s="5" t="s">
        <v>166</v>
      </c>
      <c r="D98" s="6" t="s">
        <v>398</v>
      </c>
      <c r="E98" s="5" t="s">
        <v>268</v>
      </c>
      <c r="F98" s="5" t="s">
        <v>16</v>
      </c>
      <c r="G98" s="5" t="str">
        <f t="shared" si="1"/>
        <v>ROP</v>
      </c>
      <c r="H98" s="5" t="s">
        <v>400</v>
      </c>
      <c r="I98" s="5" t="s">
        <v>270</v>
      </c>
      <c r="J98" s="5" t="s">
        <v>373</v>
      </c>
      <c r="K98" s="5" t="str">
        <f>IFERROR(__xludf.DUMMYFUNCTION("TEXT(MATCH(I98,UNIQUE(FILTER($I$2:$I1064,$I$2:$I1064&lt;&gt;"""")),0),""000"")"),"075")</f>
        <v>075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5" t="s">
        <v>266</v>
      </c>
      <c r="B99" s="5" t="s">
        <v>267</v>
      </c>
      <c r="C99" s="5" t="s">
        <v>166</v>
      </c>
      <c r="D99" s="6" t="s">
        <v>398</v>
      </c>
      <c r="E99" s="5" t="s">
        <v>268</v>
      </c>
      <c r="F99" s="5" t="s">
        <v>16</v>
      </c>
      <c r="G99" s="5" t="str">
        <f t="shared" si="1"/>
        <v>ROP</v>
      </c>
      <c r="H99" s="5" t="s">
        <v>401</v>
      </c>
      <c r="I99" s="5" t="s">
        <v>270</v>
      </c>
      <c r="J99" s="5" t="s">
        <v>373</v>
      </c>
      <c r="K99" s="5" t="str">
        <f>IFERROR(__xludf.DUMMYFUNCTION("TEXT(MATCH(I99,UNIQUE(FILTER($I$2:$I1064,$I$2:$I1064&lt;&gt;"""")),0),""000"")"),"075")</f>
        <v>075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5" t="s">
        <v>266</v>
      </c>
      <c r="B100" s="5" t="s">
        <v>267</v>
      </c>
      <c r="C100" s="5" t="s">
        <v>166</v>
      </c>
      <c r="D100" s="6" t="s">
        <v>398</v>
      </c>
      <c r="E100" s="5" t="s">
        <v>268</v>
      </c>
      <c r="F100" s="5" t="s">
        <v>16</v>
      </c>
      <c r="G100" s="5" t="str">
        <f t="shared" si="1"/>
        <v>ROP</v>
      </c>
      <c r="H100" s="5" t="s">
        <v>402</v>
      </c>
      <c r="I100" s="5" t="s">
        <v>270</v>
      </c>
      <c r="J100" s="5" t="s">
        <v>373</v>
      </c>
      <c r="K100" s="5" t="str">
        <f>IFERROR(__xludf.DUMMYFUNCTION("TEXT(MATCH(I100,UNIQUE(FILTER($I$2:$I1064,$I$2:$I1064&lt;&gt;"""")),0),""000"")"),"075")</f>
        <v>075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5" t="s">
        <v>266</v>
      </c>
      <c r="B101" s="5" t="s">
        <v>267</v>
      </c>
      <c r="C101" s="5" t="s">
        <v>166</v>
      </c>
      <c r="D101" s="6" t="s">
        <v>398</v>
      </c>
      <c r="E101" s="5" t="s">
        <v>268</v>
      </c>
      <c r="F101" s="5" t="s">
        <v>16</v>
      </c>
      <c r="G101" s="5" t="str">
        <f t="shared" si="1"/>
        <v>ROP</v>
      </c>
      <c r="H101" s="5" t="s">
        <v>403</v>
      </c>
      <c r="I101" s="5" t="s">
        <v>273</v>
      </c>
      <c r="J101" s="5" t="s">
        <v>373</v>
      </c>
      <c r="K101" s="5" t="str">
        <f>IFERROR(__xludf.DUMMYFUNCTION("TEXT(MATCH(I101,UNIQUE(FILTER($I$2:$I1064,$I$2:$I1064&lt;&gt;"""")),0),""000"")"),"076")</f>
        <v>076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5" t="s">
        <v>266</v>
      </c>
      <c r="B102" s="5" t="s">
        <v>267</v>
      </c>
      <c r="C102" s="5" t="s">
        <v>166</v>
      </c>
      <c r="D102" s="6" t="s">
        <v>398</v>
      </c>
      <c r="E102" s="5" t="s">
        <v>268</v>
      </c>
      <c r="F102" s="5" t="s">
        <v>16</v>
      </c>
      <c r="G102" s="5" t="str">
        <f t="shared" si="1"/>
        <v>ROP</v>
      </c>
      <c r="H102" s="5" t="s">
        <v>404</v>
      </c>
      <c r="I102" s="5" t="s">
        <v>273</v>
      </c>
      <c r="J102" s="5" t="s">
        <v>373</v>
      </c>
      <c r="K102" s="5" t="str">
        <f>IFERROR(__xludf.DUMMYFUNCTION("TEXT(MATCH(I102,UNIQUE(FILTER($I$2:$I1064,$I$2:$I1064&lt;&gt;"""")),0),""000"")"),"076")</f>
        <v>076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5" t="s">
        <v>266</v>
      </c>
      <c r="B103" s="5" t="s">
        <v>267</v>
      </c>
      <c r="C103" s="5" t="s">
        <v>166</v>
      </c>
      <c r="D103" s="6" t="s">
        <v>398</v>
      </c>
      <c r="E103" s="5" t="s">
        <v>268</v>
      </c>
      <c r="F103" s="5" t="s">
        <v>16</v>
      </c>
      <c r="G103" s="5" t="str">
        <f t="shared" si="1"/>
        <v>ROP</v>
      </c>
      <c r="H103" s="5" t="s">
        <v>405</v>
      </c>
      <c r="I103" s="5" t="s">
        <v>275</v>
      </c>
      <c r="J103" s="5" t="s">
        <v>373</v>
      </c>
      <c r="K103" s="5" t="str">
        <f>IFERROR(__xludf.DUMMYFUNCTION("TEXT(MATCH(I103,UNIQUE(FILTER($I$2:$I1064,$I$2:$I1064&lt;&gt;"""")),0),""000"")"),"077")</f>
        <v>077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5" t="s">
        <v>266</v>
      </c>
      <c r="B104" s="5" t="s">
        <v>267</v>
      </c>
      <c r="C104" s="5" t="s">
        <v>166</v>
      </c>
      <c r="D104" s="6" t="s">
        <v>398</v>
      </c>
      <c r="E104" s="5" t="s">
        <v>268</v>
      </c>
      <c r="F104" s="5" t="s">
        <v>39</v>
      </c>
      <c r="G104" s="5" t="str">
        <f t="shared" si="1"/>
        <v>LOP</v>
      </c>
      <c r="H104" s="5" t="s">
        <v>406</v>
      </c>
      <c r="I104" s="5" t="s">
        <v>278</v>
      </c>
      <c r="J104" s="5" t="s">
        <v>19</v>
      </c>
      <c r="K104" s="5" t="str">
        <f>IFERROR(__xludf.DUMMYFUNCTION("TEXT(MATCH(I104,UNIQUE(FILTER($I$2:$I1064,$I$2:$I1064&lt;&gt;"""")),0),""000"")"),"078")</f>
        <v>078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5" t="s">
        <v>266</v>
      </c>
      <c r="B105" s="5" t="s">
        <v>267</v>
      </c>
      <c r="C105" s="5" t="s">
        <v>166</v>
      </c>
      <c r="D105" s="6" t="s">
        <v>398</v>
      </c>
      <c r="E105" s="5" t="s">
        <v>268</v>
      </c>
      <c r="F105" s="5" t="s">
        <v>39</v>
      </c>
      <c r="G105" s="5" t="str">
        <f t="shared" si="1"/>
        <v>LOP</v>
      </c>
      <c r="H105" s="5" t="s">
        <v>407</v>
      </c>
      <c r="I105" s="5" t="s">
        <v>280</v>
      </c>
      <c r="J105" s="5" t="s">
        <v>19</v>
      </c>
      <c r="K105" s="5" t="str">
        <f>IFERROR(__xludf.DUMMYFUNCTION("TEXT(MATCH(I105,UNIQUE(FILTER($I$2:$I1064,$I$2:$I1064&lt;&gt;"""")),0),""000"")"),"079")</f>
        <v>079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5" t="s">
        <v>266</v>
      </c>
      <c r="B106" s="5" t="s">
        <v>267</v>
      </c>
      <c r="C106" s="5" t="s">
        <v>166</v>
      </c>
      <c r="D106" s="6" t="s">
        <v>398</v>
      </c>
      <c r="E106" s="5" t="s">
        <v>268</v>
      </c>
      <c r="F106" s="5" t="s">
        <v>39</v>
      </c>
      <c r="G106" s="5" t="str">
        <f t="shared" si="1"/>
        <v>LOP</v>
      </c>
      <c r="H106" s="5" t="s">
        <v>408</v>
      </c>
      <c r="I106" s="5" t="s">
        <v>282</v>
      </c>
      <c r="J106" s="5" t="s">
        <v>19</v>
      </c>
      <c r="K106" s="5" t="str">
        <f>IFERROR(__xludf.DUMMYFUNCTION("TEXT(MATCH(I106,UNIQUE(FILTER($I$2:$I1064,$I$2:$I1064&lt;&gt;"""")),0),""000"")"),"080")</f>
        <v>080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5" t="s">
        <v>266</v>
      </c>
      <c r="B107" s="5" t="s">
        <v>267</v>
      </c>
      <c r="C107" s="5" t="s">
        <v>166</v>
      </c>
      <c r="D107" s="6" t="s">
        <v>398</v>
      </c>
      <c r="E107" s="5" t="s">
        <v>268</v>
      </c>
      <c r="F107" s="5" t="s">
        <v>16</v>
      </c>
      <c r="G107" s="5" t="str">
        <f t="shared" si="1"/>
        <v>ROP</v>
      </c>
      <c r="H107" s="5" t="s">
        <v>409</v>
      </c>
      <c r="I107" s="5" t="s">
        <v>284</v>
      </c>
      <c r="J107" s="5" t="s">
        <v>19</v>
      </c>
      <c r="K107" s="5" t="str">
        <f>IFERROR(__xludf.DUMMYFUNCTION("TEXT(MATCH(I107,UNIQUE(FILTER($I$2:$I1064,$I$2:$I1064&lt;&gt;"""")),0),""000"")"),"081")</f>
        <v>081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5" t="s">
        <v>266</v>
      </c>
      <c r="B108" s="5" t="s">
        <v>267</v>
      </c>
      <c r="C108" s="5" t="s">
        <v>166</v>
      </c>
      <c r="D108" s="6" t="s">
        <v>398</v>
      </c>
      <c r="E108" s="5" t="s">
        <v>268</v>
      </c>
      <c r="F108" s="5" t="s">
        <v>16</v>
      </c>
      <c r="G108" s="5" t="str">
        <f t="shared" si="1"/>
        <v>ROP</v>
      </c>
      <c r="H108" s="5" t="s">
        <v>410</v>
      </c>
      <c r="I108" s="5" t="s">
        <v>287</v>
      </c>
      <c r="J108" s="5" t="s">
        <v>19</v>
      </c>
      <c r="K108" s="5" t="str">
        <f>IFERROR(__xludf.DUMMYFUNCTION("TEXT(MATCH(I108,UNIQUE(FILTER($I$2:$I1064,$I$2:$I1064&lt;&gt;"""")),0),""000"")"),"082")</f>
        <v>082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5" t="s">
        <v>266</v>
      </c>
      <c r="B109" s="5" t="s">
        <v>267</v>
      </c>
      <c r="C109" s="5" t="s">
        <v>166</v>
      </c>
      <c r="D109" s="6" t="s">
        <v>398</v>
      </c>
      <c r="E109" s="5" t="s">
        <v>268</v>
      </c>
      <c r="F109" s="5" t="s">
        <v>39</v>
      </c>
      <c r="G109" s="5" t="str">
        <f t="shared" si="1"/>
        <v>LOP</v>
      </c>
      <c r="H109" s="5" t="s">
        <v>411</v>
      </c>
      <c r="I109" s="5" t="s">
        <v>288</v>
      </c>
      <c r="J109" s="5" t="s">
        <v>19</v>
      </c>
      <c r="K109" s="5" t="str">
        <f>IFERROR(__xludf.DUMMYFUNCTION("TEXT(MATCH(I109,UNIQUE(FILTER($I$2:$I1064,$I$2:$I1064&lt;&gt;"""")),0),""000"")"),"083")</f>
        <v>083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60.0" customHeight="1">
      <c r="A110" s="5" t="s">
        <v>266</v>
      </c>
      <c r="B110" s="5" t="s">
        <v>267</v>
      </c>
      <c r="C110" s="5" t="s">
        <v>166</v>
      </c>
      <c r="D110" s="6" t="s">
        <v>398</v>
      </c>
      <c r="E110" s="5" t="s">
        <v>268</v>
      </c>
      <c r="F110" s="5" t="s">
        <v>39</v>
      </c>
      <c r="G110" s="5" t="str">
        <f t="shared" si="1"/>
        <v>LOP</v>
      </c>
      <c r="H110" s="5" t="s">
        <v>412</v>
      </c>
      <c r="I110" s="5" t="s">
        <v>290</v>
      </c>
      <c r="J110" s="5" t="s">
        <v>19</v>
      </c>
      <c r="K110" s="5" t="str">
        <f>IFERROR(__xludf.DUMMYFUNCTION("TEXT(MATCH(I110,UNIQUE(FILTER($I$2:$I1064,$I$2:$I1064&lt;&gt;"""")),0),""000"")"),"084")</f>
        <v>084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5" t="s">
        <v>266</v>
      </c>
      <c r="B111" s="5" t="s">
        <v>267</v>
      </c>
      <c r="C111" s="5" t="s">
        <v>166</v>
      </c>
      <c r="D111" s="6" t="s">
        <v>398</v>
      </c>
      <c r="E111" s="5" t="s">
        <v>268</v>
      </c>
      <c r="F111" s="5" t="s">
        <v>16</v>
      </c>
      <c r="G111" s="5" t="str">
        <f t="shared" si="1"/>
        <v>ROP</v>
      </c>
      <c r="H111" s="5" t="s">
        <v>413</v>
      </c>
      <c r="I111" s="5" t="s">
        <v>293</v>
      </c>
      <c r="J111" s="5" t="s">
        <v>19</v>
      </c>
      <c r="K111" s="5" t="str">
        <f>IFERROR(__xludf.DUMMYFUNCTION("TEXT(MATCH(I111,UNIQUE(FILTER($I$2:$I1064,$I$2:$I1064&lt;&gt;"""")),0),""000"")"),"085")</f>
        <v>085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5" t="s">
        <v>266</v>
      </c>
      <c r="B112" s="5" t="s">
        <v>267</v>
      </c>
      <c r="C112" s="5" t="s">
        <v>166</v>
      </c>
      <c r="D112" s="6" t="s">
        <v>398</v>
      </c>
      <c r="E112" s="5" t="s">
        <v>268</v>
      </c>
      <c r="F112" s="5" t="s">
        <v>39</v>
      </c>
      <c r="G112" s="5" t="str">
        <f t="shared" si="1"/>
        <v>LOP</v>
      </c>
      <c r="H112" s="5" t="s">
        <v>414</v>
      </c>
      <c r="I112" s="5" t="s">
        <v>295</v>
      </c>
      <c r="J112" s="5" t="s">
        <v>19</v>
      </c>
      <c r="K112" s="5" t="str">
        <f>IFERROR(__xludf.DUMMYFUNCTION("TEXT(MATCH(I112,UNIQUE(FILTER($I$2:$I1064,$I$2:$I1064&lt;&gt;"""")),0),""000"")"),"086")</f>
        <v>086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5" t="s">
        <v>266</v>
      </c>
      <c r="B113" s="5" t="s">
        <v>267</v>
      </c>
      <c r="C113" s="5" t="s">
        <v>166</v>
      </c>
      <c r="D113" s="6" t="s">
        <v>398</v>
      </c>
      <c r="E113" s="5" t="s">
        <v>268</v>
      </c>
      <c r="F113" s="5" t="s">
        <v>39</v>
      </c>
      <c r="G113" s="5" t="str">
        <f t="shared" si="1"/>
        <v>LOP</v>
      </c>
      <c r="H113" s="5" t="s">
        <v>415</v>
      </c>
      <c r="I113" s="5" t="s">
        <v>297</v>
      </c>
      <c r="J113" s="5" t="s">
        <v>19</v>
      </c>
      <c r="K113" s="5" t="str">
        <f>IFERROR(__xludf.DUMMYFUNCTION("TEXT(MATCH(I113,UNIQUE(FILTER($I$2:$I1064,$I$2:$I1064&lt;&gt;"""")),0),""000"")"),"087")</f>
        <v>087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5" t="s">
        <v>266</v>
      </c>
      <c r="B114" s="5" t="s">
        <v>267</v>
      </c>
      <c r="C114" s="5" t="s">
        <v>166</v>
      </c>
      <c r="D114" s="6" t="s">
        <v>398</v>
      </c>
      <c r="E114" s="5" t="s">
        <v>268</v>
      </c>
      <c r="F114" s="5" t="s">
        <v>16</v>
      </c>
      <c r="G114" s="5" t="str">
        <f t="shared" si="1"/>
        <v>ROP</v>
      </c>
      <c r="H114" s="5" t="s">
        <v>416</v>
      </c>
      <c r="I114" s="5" t="s">
        <v>299</v>
      </c>
      <c r="J114" s="5" t="s">
        <v>373</v>
      </c>
      <c r="K114" s="5" t="str">
        <f>IFERROR(__xludf.DUMMYFUNCTION("TEXT(MATCH(I114,UNIQUE(FILTER($I$2:$I1064,$I$2:$I1064&lt;&gt;"""")),0),""000"")"),"088")</f>
        <v>088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5" t="s">
        <v>266</v>
      </c>
      <c r="B115" s="5" t="s">
        <v>267</v>
      </c>
      <c r="C115" s="5" t="s">
        <v>166</v>
      </c>
      <c r="D115" s="6" t="s">
        <v>398</v>
      </c>
      <c r="E115" s="5" t="s">
        <v>268</v>
      </c>
      <c r="F115" s="5" t="s">
        <v>16</v>
      </c>
      <c r="G115" s="5" t="str">
        <f t="shared" si="1"/>
        <v>ROP</v>
      </c>
      <c r="H115" s="5" t="s">
        <v>417</v>
      </c>
      <c r="I115" s="5" t="s">
        <v>302</v>
      </c>
      <c r="J115" s="5" t="s">
        <v>373</v>
      </c>
      <c r="K115" s="5" t="str">
        <f>IFERROR(__xludf.DUMMYFUNCTION("TEXT(MATCH(I115,UNIQUE(FILTER($I$2:$I1064,$I$2:$I1064&lt;&gt;"""")),0),""000"")"),"089")</f>
        <v>089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5" t="s">
        <v>266</v>
      </c>
      <c r="B116" s="5" t="s">
        <v>267</v>
      </c>
      <c r="C116" s="5" t="s">
        <v>166</v>
      </c>
      <c r="D116" s="6" t="s">
        <v>398</v>
      </c>
      <c r="E116" s="5" t="s">
        <v>268</v>
      </c>
      <c r="F116" s="5" t="s">
        <v>16</v>
      </c>
      <c r="G116" s="5" t="str">
        <f t="shared" si="1"/>
        <v>ROP</v>
      </c>
      <c r="H116" s="5" t="s">
        <v>418</v>
      </c>
      <c r="I116" s="5" t="s">
        <v>304</v>
      </c>
      <c r="J116" s="5" t="s">
        <v>373</v>
      </c>
      <c r="K116" s="5" t="str">
        <f>IFERROR(__xludf.DUMMYFUNCTION("TEXT(MATCH(I116,UNIQUE(FILTER($I$2:$I1064,$I$2:$I1064&lt;&gt;"""")),0),""000"")"),"090")</f>
        <v>090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5" t="s">
        <v>266</v>
      </c>
      <c r="B117" s="5" t="s">
        <v>267</v>
      </c>
      <c r="C117" s="5" t="s">
        <v>166</v>
      </c>
      <c r="D117" s="6" t="s">
        <v>398</v>
      </c>
      <c r="E117" s="5" t="s">
        <v>268</v>
      </c>
      <c r="F117" s="5" t="s">
        <v>39</v>
      </c>
      <c r="G117" s="5" t="str">
        <f t="shared" si="1"/>
        <v>LOP</v>
      </c>
      <c r="H117" s="5" t="s">
        <v>419</v>
      </c>
      <c r="I117" s="5" t="s">
        <v>306</v>
      </c>
      <c r="J117" s="5" t="s">
        <v>19</v>
      </c>
      <c r="K117" s="5" t="str">
        <f>IFERROR(__xludf.DUMMYFUNCTION("TEXT(MATCH(I117,UNIQUE(FILTER($I$2:$I1064,$I$2:$I1064&lt;&gt;"""")),0),""000"")"),"091")</f>
        <v>091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5" t="s">
        <v>266</v>
      </c>
      <c r="B118" s="5" t="s">
        <v>267</v>
      </c>
      <c r="C118" s="5" t="s">
        <v>166</v>
      </c>
      <c r="D118" s="6" t="s">
        <v>398</v>
      </c>
      <c r="E118" s="5" t="s">
        <v>268</v>
      </c>
      <c r="F118" s="5" t="s">
        <v>39</v>
      </c>
      <c r="G118" s="5" t="str">
        <f t="shared" si="1"/>
        <v>LOP</v>
      </c>
      <c r="H118" s="5" t="s">
        <v>420</v>
      </c>
      <c r="I118" s="5" t="s">
        <v>308</v>
      </c>
      <c r="J118" s="5" t="s">
        <v>19</v>
      </c>
      <c r="K118" s="5" t="str">
        <f>IFERROR(__xludf.DUMMYFUNCTION("TEXT(MATCH(I118,UNIQUE(FILTER($I$2:$I1064,$I$2:$I1064&lt;&gt;"""")),0),""000"")"),"092")</f>
        <v>092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5" t="s">
        <v>309</v>
      </c>
      <c r="B119" s="5" t="s">
        <v>310</v>
      </c>
      <c r="C119" s="5" t="s">
        <v>14</v>
      </c>
      <c r="D119" s="6" t="s">
        <v>421</v>
      </c>
      <c r="E119" s="5" t="s">
        <v>310</v>
      </c>
      <c r="F119" s="5" t="s">
        <v>16</v>
      </c>
      <c r="G119" s="5" t="str">
        <f t="shared" si="1"/>
        <v>ROP</v>
      </c>
      <c r="H119" s="5" t="s">
        <v>422</v>
      </c>
      <c r="I119" s="5" t="s">
        <v>312</v>
      </c>
      <c r="J119" s="5" t="s">
        <v>19</v>
      </c>
      <c r="K119" s="5" t="str">
        <f>IFERROR(__xludf.DUMMYFUNCTION("TEXT(MATCH(I119,UNIQUE(FILTER($I$2:$I1064,$I$2:$I1064&lt;&gt;"""")),0),""000"")"),"093")</f>
        <v>093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5" t="s">
        <v>309</v>
      </c>
      <c r="B120" s="5" t="s">
        <v>310</v>
      </c>
      <c r="C120" s="5" t="s">
        <v>14</v>
      </c>
      <c r="D120" s="6" t="s">
        <v>421</v>
      </c>
      <c r="E120" s="5" t="s">
        <v>310</v>
      </c>
      <c r="F120" s="5" t="s">
        <v>16</v>
      </c>
      <c r="G120" s="5" t="str">
        <f t="shared" si="1"/>
        <v>ROP</v>
      </c>
      <c r="H120" s="5" t="s">
        <v>423</v>
      </c>
      <c r="I120" s="5" t="s">
        <v>314</v>
      </c>
      <c r="J120" s="5" t="s">
        <v>19</v>
      </c>
      <c r="K120" s="5" t="str">
        <f>IFERROR(__xludf.DUMMYFUNCTION("TEXT(MATCH(I120,UNIQUE(FILTER($I$2:$I1064,$I$2:$I1064&lt;&gt;"""")),0),""000"")"),"094")</f>
        <v>094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5" t="s">
        <v>309</v>
      </c>
      <c r="B121" s="5" t="s">
        <v>310</v>
      </c>
      <c r="C121" s="5" t="s">
        <v>14</v>
      </c>
      <c r="D121" s="6" t="s">
        <v>421</v>
      </c>
      <c r="E121" s="5" t="s">
        <v>310</v>
      </c>
      <c r="F121" s="5" t="s">
        <v>16</v>
      </c>
      <c r="G121" s="5" t="str">
        <f t="shared" si="1"/>
        <v>ROP</v>
      </c>
      <c r="H121" s="5" t="s">
        <v>424</v>
      </c>
      <c r="I121" s="5" t="s">
        <v>317</v>
      </c>
      <c r="J121" s="5" t="s">
        <v>19</v>
      </c>
      <c r="K121" s="5" t="str">
        <f>IFERROR(__xludf.DUMMYFUNCTION("TEXT(MATCH(I121,UNIQUE(FILTER($I$2:$I1064,$I$2:$I1064&lt;&gt;"""")),0),""000"")"),"095")</f>
        <v>095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5" t="s">
        <v>309</v>
      </c>
      <c r="B122" s="5" t="s">
        <v>310</v>
      </c>
      <c r="C122" s="5" t="s">
        <v>14</v>
      </c>
      <c r="D122" s="6" t="s">
        <v>421</v>
      </c>
      <c r="E122" s="5" t="s">
        <v>310</v>
      </c>
      <c r="F122" s="5" t="s">
        <v>39</v>
      </c>
      <c r="G122" s="5" t="str">
        <f t="shared" si="1"/>
        <v>LOP</v>
      </c>
      <c r="H122" s="5" t="s">
        <v>425</v>
      </c>
      <c r="I122" s="5" t="s">
        <v>318</v>
      </c>
      <c r="J122" s="5" t="s">
        <v>19</v>
      </c>
      <c r="K122" s="5" t="str">
        <f>IFERROR(__xludf.DUMMYFUNCTION("TEXT(MATCH(I122,UNIQUE(FILTER($I$2:$I1064,$I$2:$I1064&lt;&gt;"""")),0),""000"")"),"096")</f>
        <v>096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5" t="s">
        <v>61</v>
      </c>
      <c r="B123" s="5" t="s">
        <v>62</v>
      </c>
      <c r="C123" s="5" t="s">
        <v>14</v>
      </c>
      <c r="D123" s="5" t="s">
        <v>426</v>
      </c>
      <c r="E123" s="5" t="s">
        <v>62</v>
      </c>
      <c r="F123" s="5" t="s">
        <v>16</v>
      </c>
      <c r="G123" s="5" t="str">
        <f t="shared" si="1"/>
        <v>ROP</v>
      </c>
      <c r="H123" s="5" t="s">
        <v>427</v>
      </c>
      <c r="I123" s="5" t="s">
        <v>64</v>
      </c>
      <c r="J123" s="5" t="s">
        <v>397</v>
      </c>
      <c r="K123" s="5" t="str">
        <f>IFERROR(__xludf.DUMMYFUNCTION("TEXT(MATCH(I123,UNIQUE(FILTER($I$2:$I1064,$I$2:$I1064&lt;&gt;"""")),0),""000"")"),"097")</f>
        <v>097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5" t="s">
        <v>61</v>
      </c>
      <c r="B124" s="5" t="s">
        <v>62</v>
      </c>
      <c r="C124" s="5" t="s">
        <v>14</v>
      </c>
      <c r="D124" s="5" t="s">
        <v>426</v>
      </c>
      <c r="E124" s="5" t="s">
        <v>62</v>
      </c>
      <c r="F124" s="5" t="s">
        <v>16</v>
      </c>
      <c r="G124" s="5" t="str">
        <f t="shared" si="1"/>
        <v>ROP</v>
      </c>
      <c r="H124" s="5" t="s">
        <v>428</v>
      </c>
      <c r="I124" s="5" t="s">
        <v>67</v>
      </c>
      <c r="J124" s="5" t="s">
        <v>397</v>
      </c>
      <c r="K124" s="5" t="str">
        <f>IFERROR(__xludf.DUMMYFUNCTION("TEXT(MATCH(I124,UNIQUE(FILTER($I$2:$I1064,$I$2:$I1064&lt;&gt;"""")),0),""000"")"),"098")</f>
        <v>098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5" t="s">
        <v>61</v>
      </c>
      <c r="B125" s="5" t="s">
        <v>62</v>
      </c>
      <c r="C125" s="5" t="s">
        <v>14</v>
      </c>
      <c r="D125" s="5" t="s">
        <v>426</v>
      </c>
      <c r="E125" s="5" t="s">
        <v>62</v>
      </c>
      <c r="F125" s="5" t="s">
        <v>16</v>
      </c>
      <c r="G125" s="5" t="str">
        <f t="shared" si="1"/>
        <v>ROP</v>
      </c>
      <c r="H125" s="5" t="s">
        <v>429</v>
      </c>
      <c r="I125" s="5" t="s">
        <v>69</v>
      </c>
      <c r="J125" s="5" t="s">
        <v>397</v>
      </c>
      <c r="K125" s="5" t="str">
        <f>IFERROR(__xludf.DUMMYFUNCTION("TEXT(MATCH(I125,UNIQUE(FILTER($I$2:$I1064,$I$2:$I1064&lt;&gt;"""")),0),""000"")"),"099")</f>
        <v>099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5" t="s">
        <v>61</v>
      </c>
      <c r="B126" s="5" t="s">
        <v>62</v>
      </c>
      <c r="C126" s="5" t="s">
        <v>14</v>
      </c>
      <c r="D126" s="5" t="s">
        <v>426</v>
      </c>
      <c r="E126" s="5" t="s">
        <v>62</v>
      </c>
      <c r="F126" s="5" t="s">
        <v>16</v>
      </c>
      <c r="G126" s="5" t="str">
        <f t="shared" si="1"/>
        <v>ROP</v>
      </c>
      <c r="H126" s="5" t="s">
        <v>430</v>
      </c>
      <c r="I126" s="5" t="s">
        <v>71</v>
      </c>
      <c r="J126" s="5" t="s">
        <v>397</v>
      </c>
      <c r="K126" s="5" t="str">
        <f>IFERROR(__xludf.DUMMYFUNCTION("TEXT(MATCH(I126,UNIQUE(FILTER($I$2:$I1064,$I$2:$I1064&lt;&gt;"""")),0),""000"")"),"100")</f>
        <v>100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5" t="s">
        <v>61</v>
      </c>
      <c r="B127" s="5" t="s">
        <v>62</v>
      </c>
      <c r="C127" s="5" t="s">
        <v>14</v>
      </c>
      <c r="D127" s="5" t="s">
        <v>426</v>
      </c>
      <c r="E127" s="5" t="s">
        <v>62</v>
      </c>
      <c r="F127" s="5" t="s">
        <v>16</v>
      </c>
      <c r="G127" s="5" t="str">
        <f t="shared" si="1"/>
        <v>ROP</v>
      </c>
      <c r="H127" s="5" t="s">
        <v>431</v>
      </c>
      <c r="I127" s="5" t="s">
        <v>71</v>
      </c>
      <c r="J127" s="5" t="s">
        <v>397</v>
      </c>
      <c r="K127" s="5" t="str">
        <f>IFERROR(__xludf.DUMMYFUNCTION("TEXT(MATCH(I127,UNIQUE(FILTER($I$2:$I1064,$I$2:$I1064&lt;&gt;"""")),0),""000"")"),"100")</f>
        <v>100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5" t="s">
        <v>226</v>
      </c>
      <c r="B128" s="5" t="s">
        <v>227</v>
      </c>
      <c r="C128" s="5" t="s">
        <v>14</v>
      </c>
      <c r="D128" s="5" t="s">
        <v>432</v>
      </c>
      <c r="E128" s="5" t="s">
        <v>228</v>
      </c>
      <c r="F128" s="5" t="s">
        <v>16</v>
      </c>
      <c r="G128" s="5" t="str">
        <f t="shared" si="1"/>
        <v>ROP</v>
      </c>
      <c r="H128" s="5" t="s">
        <v>433</v>
      </c>
      <c r="I128" s="5" t="s">
        <v>230</v>
      </c>
      <c r="J128" s="5" t="s">
        <v>397</v>
      </c>
      <c r="K128" s="5" t="str">
        <f>IFERROR(__xludf.DUMMYFUNCTION("TEXT(MATCH(I128,UNIQUE(FILTER($I$2:$I1064,$I$2:$I1064&lt;&gt;"""")),0),""000"")"),"101")</f>
        <v>101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5" t="s">
        <v>226</v>
      </c>
      <c r="B129" s="5" t="s">
        <v>227</v>
      </c>
      <c r="C129" s="5" t="s">
        <v>14</v>
      </c>
      <c r="D129" s="5" t="s">
        <v>432</v>
      </c>
      <c r="E129" s="5" t="s">
        <v>228</v>
      </c>
      <c r="F129" s="5" t="s">
        <v>16</v>
      </c>
      <c r="G129" s="5" t="str">
        <f t="shared" si="1"/>
        <v>ROP</v>
      </c>
      <c r="H129" s="5" t="s">
        <v>434</v>
      </c>
      <c r="I129" s="5" t="s">
        <v>230</v>
      </c>
      <c r="J129" s="5" t="s">
        <v>397</v>
      </c>
      <c r="K129" s="5" t="str">
        <f>IFERROR(__xludf.DUMMYFUNCTION("TEXT(MATCH(I129,UNIQUE(FILTER($I$2:$I1064,$I$2:$I1064&lt;&gt;"""")),0),""000"")"),"101")</f>
        <v>101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5" t="s">
        <v>226</v>
      </c>
      <c r="B130" s="5" t="s">
        <v>227</v>
      </c>
      <c r="C130" s="5" t="s">
        <v>14</v>
      </c>
      <c r="D130" s="5" t="s">
        <v>432</v>
      </c>
      <c r="E130" s="5" t="s">
        <v>228</v>
      </c>
      <c r="F130" s="5" t="s">
        <v>16</v>
      </c>
      <c r="G130" s="5" t="str">
        <f t="shared" si="1"/>
        <v>ROP</v>
      </c>
      <c r="H130" s="5" t="s">
        <v>435</v>
      </c>
      <c r="I130" s="5" t="s">
        <v>232</v>
      </c>
      <c r="J130" s="5" t="s">
        <v>397</v>
      </c>
      <c r="K130" s="5" t="str">
        <f>IFERROR(__xludf.DUMMYFUNCTION("TEXT(MATCH(I130,UNIQUE(FILTER($I$2:$I1064,$I$2:$I1064&lt;&gt;"""")),0),""000"")"),"102")</f>
        <v>102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5" t="s">
        <v>226</v>
      </c>
      <c r="B131" s="5" t="s">
        <v>227</v>
      </c>
      <c r="C131" s="5" t="s">
        <v>14</v>
      </c>
      <c r="D131" s="5" t="s">
        <v>432</v>
      </c>
      <c r="E131" s="5" t="s">
        <v>228</v>
      </c>
      <c r="F131" s="5" t="s">
        <v>16</v>
      </c>
      <c r="G131" s="5" t="str">
        <f t="shared" si="1"/>
        <v>ROP</v>
      </c>
      <c r="H131" s="5" t="s">
        <v>436</v>
      </c>
      <c r="I131" s="5" t="s">
        <v>232</v>
      </c>
      <c r="J131" s="5" t="s">
        <v>397</v>
      </c>
      <c r="K131" s="5" t="str">
        <f>IFERROR(__xludf.DUMMYFUNCTION("TEXT(MATCH(I131,UNIQUE(FILTER($I$2:$I1064,$I$2:$I1064&lt;&gt;"""")),0),""000"")"),"102")</f>
        <v>102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5" t="s">
        <v>226</v>
      </c>
      <c r="B132" s="5" t="s">
        <v>227</v>
      </c>
      <c r="C132" s="5" t="s">
        <v>14</v>
      </c>
      <c r="D132" s="5" t="s">
        <v>432</v>
      </c>
      <c r="E132" s="5" t="s">
        <v>228</v>
      </c>
      <c r="F132" s="5" t="s">
        <v>16</v>
      </c>
      <c r="G132" s="5" t="str">
        <f t="shared" si="1"/>
        <v>ROP</v>
      </c>
      <c r="H132" s="5" t="s">
        <v>437</v>
      </c>
      <c r="I132" s="5" t="s">
        <v>232</v>
      </c>
      <c r="J132" s="5" t="s">
        <v>397</v>
      </c>
      <c r="K132" s="5" t="str">
        <f>IFERROR(__xludf.DUMMYFUNCTION("TEXT(MATCH(I132,UNIQUE(FILTER($I$2:$I1064,$I$2:$I1064&lt;&gt;"""")),0),""000"")"),"102")</f>
        <v>102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5" t="s">
        <v>226</v>
      </c>
      <c r="B133" s="5" t="s">
        <v>227</v>
      </c>
      <c r="C133" s="5" t="s">
        <v>14</v>
      </c>
      <c r="D133" s="5" t="s">
        <v>432</v>
      </c>
      <c r="E133" s="5" t="s">
        <v>228</v>
      </c>
      <c r="F133" s="5" t="s">
        <v>16</v>
      </c>
      <c r="G133" s="5" t="str">
        <f t="shared" si="1"/>
        <v>ROP</v>
      </c>
      <c r="H133" s="5" t="s">
        <v>438</v>
      </c>
      <c r="I133" s="5" t="s">
        <v>234</v>
      </c>
      <c r="J133" s="5" t="s">
        <v>397</v>
      </c>
      <c r="K133" s="5" t="str">
        <f>IFERROR(__xludf.DUMMYFUNCTION("TEXT(MATCH(I133,UNIQUE(FILTER($I$2:$I1064,$I$2:$I1064&lt;&gt;"""")),0),""000"")"),"103")</f>
        <v>103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5" t="s">
        <v>226</v>
      </c>
      <c r="B134" s="5" t="s">
        <v>227</v>
      </c>
      <c r="C134" s="5" t="s">
        <v>14</v>
      </c>
      <c r="D134" s="5" t="s">
        <v>432</v>
      </c>
      <c r="E134" s="5" t="s">
        <v>228</v>
      </c>
      <c r="F134" s="5" t="s">
        <v>16</v>
      </c>
      <c r="G134" s="5" t="str">
        <f t="shared" si="1"/>
        <v>ROP</v>
      </c>
      <c r="H134" s="5" t="s">
        <v>439</v>
      </c>
      <c r="I134" s="5" t="s">
        <v>234</v>
      </c>
      <c r="J134" s="5" t="s">
        <v>397</v>
      </c>
      <c r="K134" s="5" t="str">
        <f>IFERROR(__xludf.DUMMYFUNCTION("TEXT(MATCH(I134,UNIQUE(FILTER($I$2:$I1064,$I$2:$I1064&lt;&gt;"""")),0),""000"")"),"103")</f>
        <v>103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5" t="s">
        <v>226</v>
      </c>
      <c r="B135" s="5" t="s">
        <v>227</v>
      </c>
      <c r="C135" s="5" t="s">
        <v>14</v>
      </c>
      <c r="D135" s="5" t="s">
        <v>432</v>
      </c>
      <c r="E135" s="5" t="s">
        <v>228</v>
      </c>
      <c r="F135" s="5" t="s">
        <v>16</v>
      </c>
      <c r="G135" s="5" t="str">
        <f t="shared" si="1"/>
        <v>ROP</v>
      </c>
      <c r="H135" s="5" t="s">
        <v>440</v>
      </c>
      <c r="I135" s="5" t="s">
        <v>234</v>
      </c>
      <c r="J135" s="5" t="s">
        <v>397</v>
      </c>
      <c r="K135" s="5" t="str">
        <f>IFERROR(__xludf.DUMMYFUNCTION("TEXT(MATCH(I135,UNIQUE(FILTER($I$2:$I1064,$I$2:$I1064&lt;&gt;"""")),0),""000"")"),"103")</f>
        <v>103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5" t="s">
        <v>95</v>
      </c>
      <c r="B136" s="5" t="s">
        <v>96</v>
      </c>
      <c r="C136" s="5" t="s">
        <v>121</v>
      </c>
      <c r="D136" s="5" t="s">
        <v>320</v>
      </c>
      <c r="E136" s="5" t="s">
        <v>123</v>
      </c>
      <c r="F136" s="5" t="s">
        <v>16</v>
      </c>
      <c r="G136" s="5" t="str">
        <f t="shared" si="1"/>
        <v>ROP</v>
      </c>
      <c r="H136" s="5" t="s">
        <v>441</v>
      </c>
      <c r="I136" s="5" t="s">
        <v>442</v>
      </c>
      <c r="J136" s="5" t="s">
        <v>443</v>
      </c>
      <c r="K136" s="5" t="str">
        <f>IFERROR(__xludf.DUMMYFUNCTION("TEXT(MATCH(I136,UNIQUE(FILTER($I$2:$I1064,$I$2:$I1064&lt;&gt;"""")),0),""000"")"),"104")</f>
        <v>104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6"/>
      <c r="B139" s="6"/>
      <c r="C139" s="6"/>
      <c r="D139" s="6"/>
      <c r="E139" s="6"/>
      <c r="F139" s="6"/>
      <c r="G139" s="6"/>
      <c r="H139" s="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</row>
  </sheetData>
  <autoFilter ref="$A$1:$K$136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</sheetData>
  <drawing r:id="rId2"/>
</worksheet>
</file>